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0" activeTab="2"/>
  </bookViews>
  <sheets>
    <sheet sheetId="1" name="신청서" state="visible" r:id="rId4"/>
    <sheet sheetId="2" name="상담일지" state="visible" r:id="rId5"/>
    <sheet sheetId="3" name="평가표" state="visible" r:id="rId6"/>
    <sheet sheetId="4" name="신용위 안내문" state="visible" r:id="rId7"/>
    <sheet sheetId="5" name="결과보고서" state="visible" r:id="rId8"/>
    <sheet sheetId="6" name="온라인신청사항" state="visible" r:id="rId9"/>
    <sheet sheetId="7" name="유효성" state="visible" r:id="rId10"/>
  </sheets>
  <definedNames>
    <definedName name="_xlnm.Print_Area" localSheetId="1">'상담일지'!$A1:$I73</definedName>
    <definedName name="_xlnm.Print_Area" localSheetId="2">'평가표'!$A1:$G69</definedName>
    <definedName name="_xlnm.Print_Area" localSheetId="3">'신용위 안내문'!$A1:$H29</definedName>
  </definedNames>
  <calcPr calcId="171027"/>
</workbook>
</file>

<file path=xl/sharedStrings.xml><?xml version="1.0" encoding="utf-8"?>
<sst xmlns="http://schemas.openxmlformats.org/spreadsheetml/2006/main" count="412" uniqueCount="336">
  <si>
    <t>서식2</t>
  </si>
  <si>
    <t>채무조정신청서</t>
  </si>
  <si>
    <t>재기지원센터 채무조정 신청서</t>
  </si>
  <si>
    <t>신청번호 :</t>
  </si>
  <si>
    <t>신청인 정보</t>
  </si>
  <si>
    <t>성명</t>
  </si>
  <si>
    <t>생년월일</t>
  </si>
  <si>
    <t>업체명</t>
  </si>
  <si>
    <t>업태/종목</t>
  </si>
  <si>
    <t>이메일</t>
  </si>
  <si>
    <t>연락처(H.P)</t>
  </si>
  <si>
    <t>사업장주소</t>
  </si>
  <si>
    <t>사업유지현황</t>
  </si>
  <si>
    <t>성별</t>
  </si>
  <si>
    <t>자문희망일자</t>
  </si>
  <si>
    <t>상담신청유형</t>
  </si>
  <si>
    <t>접 수 내 용</t>
  </si>
  <si>
    <t>제목</t>
  </si>
  <si>
    <t xml:space="preserve">피해 및 
문의내용</t>
  </si>
  <si>
    <t>사업으루더이상영위하기가힘들고 빚만늘고있는상황이며 더이상 영위하기가 어렵다는 판단하에 폐업신청을한상황입니다 소상공인으로 새출발기금긴청했으나 폐업하면서 채무조정액을 갚지못할상황이라 신청합니다 또한 폐업후세무신고등 지원원합니다</t>
  </si>
  <si>
    <t>위의 내용이 사실임을 확인하며 법률자문신청서를 제출합니다.</t>
  </si>
  <si>
    <t xml:space="preserve">신 청 인 : </t>
  </si>
  <si>
    <t>(인)</t>
  </si>
  <si>
    <t>소상공인시장진흥공단 이사장 귀하</t>
  </si>
  <si>
    <t>* 첨부하여 제출할 서류 1. 개인정보 수집·이용 및 제공 동의서 1부.</t>
  </si>
  <si>
    <t>2. 증빙서류 (사업자등록증 또는 폐업사실증명원) 1부.</t>
  </si>
  <si>
    <t>담당자정보 및 의견</t>
  </si>
  <si>
    <t>담당센터</t>
  </si>
  <si>
    <t>담당자</t>
  </si>
  <si>
    <t>연락처</t>
  </si>
  <si>
    <t>서식2-1</t>
  </si>
  <si>
    <t>채무조정 상담일지</t>
  </si>
  <si>
    <t>김경순</t>
  </si>
  <si>
    <t>1984년생</t>
  </si>
  <si>
    <t>010-1234-5678</t>
  </si>
  <si>
    <t/>
  </si>
  <si>
    <t>신용분석사</t>
  </si>
  <si>
    <t>담당변호사</t>
  </si>
  <si>
    <t>상담사</t>
  </si>
  <si>
    <t>상담일지</t>
  </si>
  <si>
    <t>상담 일</t>
  </si>
  <si>
    <t>상담 내용</t>
  </si>
  <si>
    <t>2026. 03. 17</t>
  </si>
  <si>
    <t>신청인의 연락처(핸드폰)로 상담완료</t>
  </si>
  <si>
    <t>&lt;- '상담일'은 날자만(예, 4-13) 입력</t>
  </si>
  <si>
    <t xml:space="preserve">연체 여부
3개월 이상 연체(부실)
가. 신청인의 채무증대사유
신청인은 근로소득에 종사하고 있으며, 현재 총 채무 1.48억원이 있음.
채무 내역: 신용대출 1.48억원
현재 월 소득 200만원이며, 1인 가구 기준 생계비 1,538,543원을 초과하여 가용자금은 월 461,457원임.
나. 특이사항
특이사항 없음
다. 평가 및 의견
상기 내용을 종합적으로 검토한 결과, 신청인은 개인회생 절차가 가장 적합한 것으로 판단됨.
신청인의 월 소득 200만원에서 1인 가구 생계비 1,538,543원을 공제한 가용자금 461,457원이 발생하여 개인회생 변제계획 수립이 가능함.
예상 변제금 총 1,661만원, 월 변제액 461,457원, 예상 감면율 88.7%로 채무 부담을 크게 경감할 수 있음.</t>
  </si>
  <si>
    <t>&lt;채무 사항&gt;</t>
  </si>
  <si>
    <t>채무종류</t>
  </si>
  <si>
    <t>금액(만원)</t>
  </si>
  <si>
    <t>비고</t>
  </si>
  <si>
    <t>재산의 종류</t>
  </si>
  <si>
    <t>신용대출</t>
  </si>
  <si>
    <t>거주지 보증금</t>
  </si>
  <si>
    <t>담보대출</t>
  </si>
  <si>
    <t>소유 부동산</t>
  </si>
  <si>
    <t>세금</t>
  </si>
  <si>
    <t>배우자 부동산</t>
  </si>
  <si>
    <t>사채</t>
  </si>
  <si>
    <t>자동차</t>
  </si>
  <si>
    <t>물품대금</t>
  </si>
  <si>
    <t>해약(예상) 환급금</t>
  </si>
  <si>
    <t xml:space="preserve">기타 </t>
  </si>
  <si>
    <t>기타</t>
  </si>
  <si>
    <t>채무 총액 :</t>
  </si>
  <si>
    <t>재산 총계 :</t>
  </si>
  <si>
    <t>채무 증대 사유</t>
  </si>
  <si>
    <t>사업개시일</t>
  </si>
  <si>
    <t>업종</t>
  </si>
  <si>
    <t>폐업일자</t>
  </si>
  <si>
    <t>보증금</t>
  </si>
  <si>
    <t>월세</t>
  </si>
  <si>
    <t>월세미납</t>
  </si>
  <si>
    <t>집기,비품처분</t>
  </si>
  <si>
    <t>2021년</t>
  </si>
  <si>
    <t>피부관리샵</t>
  </si>
  <si>
    <t>12월 폐업</t>
  </si>
  <si>
    <t>* 폐업 후 친인척이 사업을 개시하거나 보증금 회수, 집기 및 비품 처분내역 유의</t>
  </si>
  <si>
    <t>&lt;소득 및 직업사항&gt;</t>
  </si>
  <si>
    <t>소득의 종류</t>
  </si>
  <si>
    <t>직업 및 소득원</t>
  </si>
  <si>
    <t>근로소득</t>
  </si>
  <si>
    <t>&lt;가족관계&gt;</t>
  </si>
  <si>
    <t>혼인관계</t>
  </si>
  <si>
    <t>미혼</t>
  </si>
  <si>
    <t>부양가족수</t>
  </si>
  <si>
    <t>(미성년자녀</t>
  </si>
  <si>
    <t>65세이상</t>
  </si>
  <si>
    <t>&lt;특기사항&gt;</t>
  </si>
  <si>
    <t>[주식/가상화폐손실 규모]</t>
  </si>
  <si>
    <t>없음</t>
  </si>
  <si>
    <t>[회생/파산 경험 및 면책경과 여부(배우자 포함)]</t>
  </si>
  <si>
    <t>[정신적/신체적 치료 내용]</t>
  </si>
  <si>
    <t>[기타]</t>
  </si>
  <si>
    <t xml:space="preserve">신청인
 진술사항</t>
  </si>
  <si>
    <t>[채무상황 상세내역]</t>
  </si>
  <si>
    <t>사용처 또는 발생사유</t>
  </si>
  <si>
    <t>새출발기금</t>
  </si>
  <si>
    <t>임차보증금</t>
  </si>
  <si>
    <t>주택담보대출</t>
  </si>
  <si>
    <t>서식2-3</t>
  </si>
  <si>
    <t>채무조정 평가·판정서</t>
  </si>
  <si>
    <t>채무조정 신용평가 및 판정서</t>
  </si>
  <si>
    <t>신청인</t>
  </si>
  <si>
    <t>이      름</t>
  </si>
  <si>
    <t>전화번호</t>
  </si>
  <si>
    <t>업  체  명</t>
  </si>
  <si>
    <t>업   종</t>
  </si>
  <si>
    <t>사업상태</t>
  </si>
  <si>
    <t>관할센터</t>
  </si>
  <si>
    <t>담당</t>
  </si>
  <si>
    <t>변호사</t>
  </si>
  <si>
    <t>사무원</t>
  </si>
  <si>
    <t>평가</t>
  </si>
  <si>
    <t>평   가   항   목</t>
  </si>
  <si>
    <t>해당여부</t>
  </si>
  <si>
    <t>후속 프로세스</t>
  </si>
  <si>
    <t>효과</t>
  </si>
  <si>
    <t>구체적 조정 내용</t>
  </si>
  <si>
    <t>1.</t>
  </si>
  <si>
    <t>개인파산 신청대상 여부(법 제305조 제1항)</t>
  </si>
  <si>
    <t xml:space="preserve">✓  채무자의 연령, 직업 및 경력, 자격 또는 기술, 노동능력, 가족관계, 
     재산·부채의 내역 및 규모 등을 종합적으로 고려하여, 채무자의 
     재산, 신용, 수입에 의하더라도 채무의 일반적·계속적 변제가 불가능
     하다고 객관적으로 판단됨(대법원 2009. 3. 2.자 2008마1651 결정).</t>
  </si>
  <si>
    <t>적용 안함</t>
  </si>
  <si>
    <t xml:space="preserve">✓ 소득부족 상태이며, 채무자 명의의 모든 재산을 환가하더라도 부채를 
    전액 변제할 수 없음(총부채&gt;총재산)</t>
  </si>
  <si>
    <t>✓ 개인파산 면책 확정일부터 7년 내</t>
  </si>
  <si>
    <t>✓ 재산을 도피/ 은닉/ 고의로 재산을 감소한 사유 있음</t>
  </si>
  <si>
    <t>✓ 과다한 낭비 또는 도박 등으로 재산 감소 또는 과대한 채무 부담</t>
  </si>
  <si>
    <t>✓ 신용거래로 구입한 물건을 현저히 불리한 조건으로 처분</t>
  </si>
  <si>
    <t>✓ 특정 채권자에게 특별한 이익을 줄 목적으로 변제한 경우</t>
  </si>
  <si>
    <t>2.</t>
  </si>
  <si>
    <t>개인회생 신청대상 여부 (법제614호 제1항 제4호 및 제2항 제1호)</t>
  </si>
  <si>
    <t xml:space="preserve">✓ 채무자가 변제할 총 가용소득이 채무자의 개인회생절차 개시결정 당시
     보유한 재산 합계액을 상회하여야 함.(가용소득총액&gt;채무총액)</t>
  </si>
  <si>
    <t>개인회생신청</t>
  </si>
  <si>
    <t xml:space="preserve">✓ 매달 월급, 연금, 사업소득 등 정기적이고 확실한 수입 가능성
    (법 제579조 제1호)</t>
  </si>
  <si>
    <t>예</t>
  </si>
  <si>
    <t xml:space="preserve">✓ 무담보채무10억 원, 담보부채무 15억 원을 각각 넘지 않아야 하며 이자 
    및 지연손해금도 포함  (법 제579조 제1호 가목 및 나목)</t>
  </si>
  <si>
    <t>✓ 개인회생 면책 5년 경과</t>
  </si>
  <si>
    <t>3.</t>
  </si>
  <si>
    <t>사적채무조정(신용회복위원회) 신청대상 여부</t>
  </si>
  <si>
    <t>(신용회복위 공통)</t>
  </si>
  <si>
    <t>✓ 채무조정 효력이 상실된 날로부터 3개월 이상 경과하지 않은 자</t>
  </si>
  <si>
    <t>신용회복위 신청</t>
  </si>
  <si>
    <t>1) 신청 다음날부터 추심할동 중단</t>
  </si>
  <si>
    <t>✓ 채무조정신청이 기각된 날로부터 1년 이상 경과하지 아니한 자</t>
  </si>
  <si>
    <t>2) 신청비 5만원</t>
  </si>
  <si>
    <t>3) 회원사 신용채무 통합 조정</t>
  </si>
  <si>
    <t>✓ 어음·수표 부도거래처로서 부도사유를 해소하지 못한 자</t>
  </si>
  <si>
    <t>4) 방문 즉시 신청(인터넷 신청 가능)</t>
  </si>
  <si>
    <t>✓ 협약 외 채무의 원금이 총 채무 원금총액의 20% 이상인 자</t>
  </si>
  <si>
    <t xml:space="preserve">✓ 채무부존재확인소송 또는 대출의 무효·취소를 다투거나 분쟁상태에
   있는 자</t>
  </si>
  <si>
    <t>√ 재산과 수입에 비추어 정상적인 변제가능한 자</t>
  </si>
  <si>
    <t>✓ 무담보채무 5억 원, 담보부채무 10억 원 이하(총 15억원 이하)</t>
  </si>
  <si>
    <t>✓ 최근 6개월내 신규 발생 채무액이 총 채무액의 30% 이하</t>
  </si>
  <si>
    <t>✓ 최저생계비 이상의 수입이 있거나 채무상환이 가능함</t>
  </si>
  <si>
    <t>① 이자(연체이자) 감면</t>
  </si>
  <si>
    <t>4.</t>
  </si>
  <si>
    <t>사적조정(개인워크아웃) 신청대상 여부</t>
  </si>
  <si>
    <t xml:space="preserve">② 원금(미상각 채권) 0 ~ 30% 감면 </t>
  </si>
  <si>
    <t>✓ 연체기간 3개월(90일) 이상</t>
  </si>
  <si>
    <t>적용 가능</t>
  </si>
  <si>
    <t>(소득증빙 어려울 경우 가능)</t>
  </si>
  <si>
    <t>③ 원금(상각 채권) 20 ~ 70% 감면</t>
  </si>
  <si>
    <t>5.</t>
  </si>
  <si>
    <t>사적조정(프리워크아웃) 신청대상 여부</t>
  </si>
  <si>
    <t>④ 성실상환(2년 이상) 시 신용정보(공공기록) 삭제</t>
  </si>
  <si>
    <t>✓ 금융채무 연체 기간 30일 초과 90일 미만</t>
  </si>
  <si>
    <t>금융채무 불이행자(신용불량자) 등록x</t>
  </si>
  <si>
    <t>① 약정이자율 30 ~ 70% 내에서 인하</t>
  </si>
  <si>
    <t>✓ 최근1년 내 누적 연체일수 30일 이상, 연소득이 4000만원 이하</t>
  </si>
  <si>
    <t>원리금균등상환</t>
  </si>
  <si>
    <t>② 이자율 범위 3.25% ~ 8%</t>
  </si>
  <si>
    <t>6.</t>
  </si>
  <si>
    <t>사적조정(신속채무조정) 신청대상여부</t>
  </si>
  <si>
    <t>✓ 정상이행, 연체 예상, 연체기간 30일 이내</t>
  </si>
  <si>
    <t>✓ 신청일 현재 최근 6개 월이내 폐업</t>
  </si>
  <si>
    <t>✓ 최근 6개월이내 5일이상 연체횟수 3회 이상</t>
  </si>
  <si>
    <t>✓ 신용평점 하위 10%</t>
  </si>
  <si>
    <t>7.</t>
  </si>
  <si>
    <t>새출발기금 신청대상 여부</t>
  </si>
  <si>
    <t>✓ '20.04 ~ '25.06월 중 사업을 영위한(휴·페업 포함) 개인·법인 소상공인</t>
  </si>
  <si>
    <t>새출발기금 신청</t>
  </si>
  <si>
    <t xml:space="preserve">    1) 부실 차주( 3개월 이상 대출상환금을 연체)</t>
  </si>
  <si>
    <t xml:space="preserve">    2) 부실우려 차주(근 시일 내 장기 연체에 빠질 위함이 큰 차주</t>
  </si>
  <si>
    <t>✓ 채무총액 15억원(담보 10억원, 무담보 5억원) 이하</t>
  </si>
  <si>
    <t>✓ 매입하자 부채 또는 최근 6개월 내 신규 대출 아님</t>
  </si>
  <si>
    <t>평가 및 SOLUSION</t>
  </si>
  <si>
    <t>상담 평가</t>
  </si>
  <si>
    <t>SOLUSION</t>
  </si>
  <si>
    <t>목표</t>
  </si>
  <si>
    <t>□</t>
  </si>
  <si>
    <t>파산신청</t>
  </si>
  <si>
    <t xml:space="preserve">신청인은 근로소득으로 월 200만원의 지속적인 소득이 발생하고 있으며, 1인 가구 생계비 1,538,543원 공제 후 가용소득 월 461,457원이 있어 변제계획 수립이 가능함.
총 채무 1.48억원 대비 예상 변제금 총 1,661만원, 월 변제액 461,457원(36개월)으로 예상 감면율 88.7%임.
따라서 개인회생을 통해서 채무조정이 가능할 것으로 보임.</t>
  </si>
  <si>
    <t>■</t>
  </si>
  <si>
    <t>개인워크아웃</t>
  </si>
  <si>
    <t>프리워크아웃</t>
  </si>
  <si>
    <t>신속채무조정</t>
  </si>
  <si>
    <t>자격미달</t>
  </si>
  <si>
    <t>판정 의견</t>
  </si>
  <si>
    <t>개인회생</t>
  </si>
  <si>
    <t>안내문</t>
  </si>
  <si>
    <t>안녕하십니까</t>
  </si>
  <si>
    <t xml:space="preserve">  소상공인시장진흥공단의 희망리턴패키지 사업이 일환으로 시행하는 『2024년 페업(예정) 소상공인 채무조정』 사업을 수행하는 법무법인 덕수입니다.</t>
  </si>
  <si>
    <t xml:space="preserve">   그 간 귀하와 본 법무법인의 변호사 및 전문가 사이에 진행하였던 귀하의 '채무조정 신청' 건에 대한 상담(제출하신 자료의 검토를 포함하여)을 통하여 귀하에게 가장 적합한 채무조정 제도로 신용회복위원회의 "              "를 자문하였드렸습니다. 귀하의 신속한 채무조정을 위해 아래의 안내에 따라 신용회복위원회 '                 '지부에 신청하시기바랍니다.</t>
  </si>
  <si>
    <t>1. 방문할 곳 :</t>
  </si>
  <si>
    <t>신용회복위원회</t>
  </si>
  <si>
    <t>전화번호 :</t>
  </si>
  <si>
    <t>주소 :</t>
  </si>
  <si>
    <t>2. 준비할 사항 :</t>
  </si>
  <si>
    <t>기본서류</t>
  </si>
  <si>
    <t>①주민등록등본 (뒤 6자라 안보이게, 2개월 이내 발급), ② 신분증</t>
  </si>
  <si>
    <t xml:space="preserve">소득증빙
서류</t>
  </si>
  <si>
    <t>급여소득자</t>
  </si>
  <si>
    <t>자영업자</t>
  </si>
  <si>
    <t xml:space="preserve">① 급여명세서 사본(1년이상)
② 급여통장 입금내역 사본(1년 이상)
③ 근로스득원천징수영수증 사본(전년도)</t>
  </si>
  <si>
    <t xml:space="preserve">① 사업등록증명원
② 소득금액증명원
③ 부가가치세과세표준증명원</t>
  </si>
  <si>
    <t>소득진술서(소득증빙이 어려운 경우,  별도양식)</t>
  </si>
  <si>
    <t xml:space="preserve">기타
(해당 시)</t>
  </si>
  <si>
    <t xml:space="preserve">재산보유시 간련서류(부동산등기부등본, 자동차증록증 등)
기초수급자, 장애인 등 증빙서류
실업급여 지급결정 통지서, 건강보험자격득실확인서, 건강보험납부증명서
휴직확인서, 폐업증명서(6개월 이내 폐업), 진단서 또는 의사소견서(1개월내 발급)</t>
  </si>
  <si>
    <t xml:space="preserve">  * 위 '신용회복위원회'에 채무조정 신청 후 접수증 또는 접수비 납부 요청 문자를 받아 
    이를 법무법인덕수에 송부하시면, 접수 및 비 소정의 교통비를 지급합니다.</t>
  </si>
  <si>
    <t xml:space="preserve">   1. 접수증 사본 송부방법</t>
  </si>
  <si>
    <t xml:space="preserve">     1) 문자 또는 사진 : 담당자(문자 또는 카카오톡) </t>
  </si>
  <si>
    <t xml:space="preserve">     2) 팩스 : 02 - 6280 - 5306        3) 이메일 : restart@iduksu.com</t>
  </si>
  <si>
    <t>* 위 기관에 접수하는 과정에서 어려움이나 문의사항이 있으면 언제든지 연락해 주십시오</t>
  </si>
  <si>
    <t>2024년   월   일</t>
  </si>
  <si>
    <t>법무법인 덕수</t>
  </si>
  <si>
    <t>담당변호사 :</t>
  </si>
  <si>
    <t xml:space="preserve">담당 사무원 : </t>
  </si>
  <si>
    <t>&lt;별지 4&gt;</t>
  </si>
  <si>
    <t>파산·회생 보고서</t>
  </si>
  <si>
    <t>채무조정 보고서</t>
  </si>
  <si>
    <t>□ 자문변호사 정보</t>
  </si>
  <si>
    <t>010-3848-5230</t>
  </si>
  <si>
    <t>□ 신청인 정보</t>
  </si>
  <si>
    <t>자문장소</t>
  </si>
  <si>
    <t>상담유형</t>
  </si>
  <si>
    <t>유선</t>
  </si>
  <si>
    <t>실제 자문일자</t>
  </si>
  <si>
    <t>1차: 12월 11일, 2차: 00월 00일, 3차: 00월 00일</t>
  </si>
  <si>
    <t>자 문 내 용</t>
  </si>
  <si>
    <t>관련법률조항</t>
  </si>
  <si>
    <t xml:space="preserve">채무자 회생 및 파산에 관한 법률 </t>
  </si>
  <si>
    <t>자문결과(요약)</t>
  </si>
  <si>
    <t>자문결과(상세)</t>
  </si>
  <si>
    <t>1. 자문 진행 과정</t>
  </si>
  <si>
    <t>소상공시장진흥공단 홈페이지에 '채무조정' 신청</t>
  </si>
  <si>
    <t>채무조정 상담 진행</t>
  </si>
  <si>
    <t>2. 기초적 사실관계</t>
  </si>
  <si>
    <t>신청인은 2021년 피부관리샵을 창업하여 운영하였으며 코로나 시기에는 매출이 안정적이었으나 코로나 종식 후 매출이 급격히 하락하여 최근 폐업하였음. 현재 건강상의 이유로 약 두 달간 요양이 예정되어 새출발기금 월변제금 80만원 납부가 어려울 것으로 예상됨. 본인명의 자가 빌라(담보 1억 2,000만원, 임차보증금 4,000만원, 시세 약 1억 2,000만원)와 월세보증금 1,000만원을 보유하고 있으며, 배우자가 프리랜서로 근무중이고 자산 처분의사가 있으며 1-2개월 요양 후 소득활동 재개 예정임. 새출발기금 부실차주 2회 연체중임.</t>
  </si>
  <si>
    <t>3. 문의사항</t>
  </si>
  <si>
    <t xml:space="preserve">  채무조정 방안</t>
  </si>
  <si>
    <t>4. 자문내용</t>
  </si>
  <si>
    <t>신청인은 과거 채무조정 상담을 통해 새출발기금 부실차주를 신청하였으나 폐업으로 인한 소득 단절로 개인회생을 희망함. 자산의 담보권이 자산가액과 동일하게 설정되어 실질적 무자산 상태로 예상되나 개인회생 신청시 보유 자산의 강제처분 가능성으로 개인회생을 비추천하였으나 신청인이 자산 처분을 희망하므로 자산처분 후 개인회생 진행이 적절함. 경매 절차에서 임차보증금 4,000만원이 소액임차인 최우선변제 대상에 해당하므로 재산권 보장이 가능하며, 요양 후 소득 발생시 개인회생 신청이 가능함을 안내함.</t>
  </si>
  <si>
    <t>5. 자문결과 보고</t>
  </si>
  <si>
    <t>개인회생신청 예정</t>
  </si>
  <si>
    <t>6. 사후권고사항</t>
  </si>
  <si>
    <t>첨부자료</t>
  </si>
  <si>
    <t xml:space="preserve">1. 상담일지
2. 채무조정 신용평가 및 판정표
3. 접수증</t>
  </si>
  <si>
    <t>NO</t>
  </si>
  <si>
    <t>신청연도</t>
  </si>
  <si>
    <t>차수</t>
  </si>
  <si>
    <t>신청번호</t>
  </si>
  <si>
    <t>진행상태</t>
  </si>
  <si>
    <t>센터명</t>
  </si>
  <si>
    <t>센터담당자</t>
  </si>
  <si>
    <t>휴대폰</t>
  </si>
  <si>
    <t>사업구분</t>
  </si>
  <si>
    <t>사업자 등록번호</t>
  </si>
  <si>
    <t>사업장주소(상세)</t>
  </si>
  <si>
    <t>대분류명</t>
  </si>
  <si>
    <t>중분류명</t>
  </si>
  <si>
    <t>아이템명</t>
  </si>
  <si>
    <t>신청일</t>
  </si>
  <si>
    <t>결과보고서</t>
  </si>
  <si>
    <t>변호사이름</t>
  </si>
  <si>
    <t>변호사연락처</t>
  </si>
  <si>
    <t>자문 장소</t>
  </si>
  <si>
    <t>실제 자문일자 1차</t>
  </si>
  <si>
    <t>실제 자문일자 2차</t>
  </si>
  <si>
    <t>실제 자문일자 3차</t>
  </si>
  <si>
    <t>상담신청구분</t>
  </si>
  <si>
    <t>사업장소재지</t>
  </si>
  <si>
    <t>추천기관</t>
  </si>
  <si>
    <t>상세문의</t>
  </si>
  <si>
    <t>2025</t>
  </si>
  <si>
    <t>LC00021645</t>
  </si>
  <si>
    <t>접수처리완료</t>
  </si>
  <si>
    <t>고양센터</t>
  </si>
  <si>
    <t>박세훈</t>
  </si>
  <si>
    <t>이향지</t>
  </si>
  <si>
    <t>1988-07-15</t>
  </si>
  <si>
    <t>여</t>
  </si>
  <si>
    <t>--</t>
  </si>
  <si>
    <t>010-7501-1482</t>
  </si>
  <si>
    <t>thechaeum16@gmail.com</t>
  </si>
  <si>
    <t>폐업</t>
  </si>
  <si>
    <t xml:space="preserve">러블리모먼트 </t>
  </si>
  <si>
    <t>548-10-02038</t>
  </si>
  <si>
    <t xml:space="preserve">경기도 파주시 경의로 1246 </t>
  </si>
  <si>
    <t xml:space="preserve">유은타워8차 709호 러블리모먼트 </t>
  </si>
  <si>
    <t>협회 및 단체, 수리 및 기타 개인 서비스업(94~96)</t>
  </si>
  <si>
    <t>기타 개인 서비스업</t>
  </si>
  <si>
    <t>피부 미용업</t>
  </si>
  <si>
    <t>2025-11-30</t>
  </si>
  <si>
    <t>대면</t>
  </si>
  <si>
    <t>2025-12-10</t>
  </si>
  <si>
    <t>채무조정</t>
  </si>
  <si>
    <t>예/아니오</t>
  </si>
  <si>
    <t xml:space="preserve">2023년 기준 중위소득 및 </t>
  </si>
  <si>
    <t>[시행 2023. 1. 1.] [보건복지부고시 제2022-191호, 2022. 8. 8., 제정.]</t>
  </si>
  <si>
    <t>월단위라이프니쯔수치표</t>
  </si>
  <si>
    <t>월</t>
  </si>
  <si>
    <t>라이프니쯔수치</t>
  </si>
  <si>
    <t>아니오</t>
  </si>
  <si>
    <t>구분</t>
  </si>
  <si>
    <t>1인가구</t>
  </si>
  <si>
    <t>2인가구</t>
  </si>
  <si>
    <t>3인가구</t>
  </si>
  <si>
    <t>4인가구</t>
  </si>
  <si>
    <t>5인가구</t>
  </si>
  <si>
    <t>6인가구</t>
  </si>
  <si>
    <t>7인가구</t>
  </si>
  <si>
    <t>60% 적용</t>
  </si>
  <si>
    <t>있음</t>
  </si>
  <si>
    <t>금액(인/월)</t>
  </si>
  <si>
    <t>가구 수</t>
  </si>
  <si>
    <t>직업</t>
  </si>
  <si>
    <t>결혼</t>
  </si>
  <si>
    <t>자영</t>
  </si>
  <si>
    <t>기혼</t>
  </si>
  <si>
    <t>고용</t>
  </si>
  <si>
    <t>무직</t>
  </si>
  <si>
    <t>이혼</t>
  </si>
  <si>
    <t>동거</t>
  </si>
  <si>
    <t>□ 있음</t>
  </si>
  <si>
    <t>■ 있음</t>
  </si>
  <si>
    <t>□ 없음</t>
  </si>
  <si>
    <t>■ 없음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</si>
</sst>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quot;세&quot;"/>
    <numFmt numFmtId="165" formatCode="mm&quot;. &quot;dd"/>
    <numFmt numFmtId="166" formatCode="yyyy&quot;. &quot; mm&quot;. &quot; dd"/>
    <numFmt numFmtId="167" formatCode="_-* #,##0_-;-* #,##0_-;_-* &quot;-&quot;_-;_-@_-"/>
    <numFmt numFmtId="168" formatCode="#,##0_ "/>
    <numFmt numFmtId="169" formatCode="_-[$₩-412]* #,##0_-;-[$₩-412]* #,##0_-;_-[$₩-412]* &quot;-&quot;_-;_-@_-"/>
    <numFmt numFmtId="170" formatCode="0&quot;명,&quot;"/>
    <numFmt numFmtId="171" formatCode="0&quot;명)&quot;"/>
    <numFmt numFmtId="172" formatCode="#,##0&quot;만원&quot;"/>
    <numFmt numFmtId="173" formatCode="0_);[Red](0)"/>
    <numFmt numFmtId="174" formatCode="0.00000000_ "/>
  </numFmts>
  <fonts count="31" x14ac:knownFonts="1">
    <font>
      <color theme="1"/>
      <family val="2"/>
      <scheme val="minor"/>
      <sz val="11"/>
      <name val="Calibri"/>
    </font>
    <font>
      <color rgb="FF000000"/>
      <sz val="11"/>
      <name val="맑은 고딕"/>
    </font>
    <font>
      <b/>
      <charset val="129"/>
      <color rgb="FFFFFFFF"/>
      <family val="3"/>
      <sz val="13"/>
      <name val="맑은 고딕"/>
    </font>
    <font>
      <b/>
      <charset val="129"/>
      <color rgb="FF000000"/>
      <family val="3"/>
      <sz val="13"/>
      <name val="맑은 고딕"/>
    </font>
    <font>
      <b/>
      <charset val="129"/>
      <color rgb="FF000000"/>
      <family val="3"/>
      <sz val="10"/>
      <name val="맑은 고딕"/>
    </font>
    <font>
      <b/>
      <charset val="129"/>
      <color rgb="FF000000"/>
      <family val="3"/>
      <sz val="19"/>
      <name val="맑은 고딕"/>
    </font>
    <font>
      <charset val="129"/>
      <color rgb="FF000000"/>
      <family val="3"/>
      <sz val="10"/>
      <name val="맑은 고딕"/>
    </font>
    <font>
      <charset val="129"/>
      <color rgb="FF000000"/>
      <family val="3"/>
      <sz val="13"/>
      <name val="맑은 고딕"/>
    </font>
    <font>
      <b/>
      <charset val="129"/>
      <color rgb="FF000000"/>
      <family val="1"/>
      <sz val="18"/>
      <name val="HY헤드라인M"/>
    </font>
    <font>
      <b/>
      <charset val="129"/>
      <color rgb="FFCCCCCC"/>
      <family val="3"/>
      <sz val="13"/>
      <name val="맑은 고딕"/>
    </font>
    <font>
      <charset val="129"/>
      <color rgb="FF000000"/>
      <family val="3"/>
      <sz val="9"/>
      <name val="맑은 고딕"/>
    </font>
    <font>
      <i/>
      <charset val="129"/>
      <color rgb="FF000000"/>
      <family val="3"/>
      <sz val="10"/>
      <name val="맑은 고딕"/>
    </font>
    <font>
      <b/>
      <charset val="129"/>
      <color rgb="FF000000"/>
      <family val="3"/>
      <sz val="12"/>
      <name val="맑은 고딕"/>
    </font>
    <font>
      <b/>
      <charset val="129"/>
      <color rgb="FFFFFFFF"/>
      <family val="3"/>
      <sz val="13"/>
      <name val="한양중고딕"/>
    </font>
    <font>
      <b/>
      <charset val="129"/>
      <color rgb="FF000000"/>
      <family val="3"/>
      <sz val="13"/>
      <name val="한양중고딕"/>
    </font>
    <font>
      <charset val="129"/>
      <color rgb="FF000000"/>
      <family val="1"/>
      <sz val="19"/>
      <name val="HY견고딕"/>
    </font>
    <font>
      <charset val="129"/>
      <color rgb="FF000000"/>
      <family val="2"/>
      <sz val="10"/>
      <name val="맑은 고딕"/>
    </font>
    <font>
      <b/>
      <charset val="129"/>
      <color rgb="FF000000"/>
      <family val="3"/>
      <sz val="16"/>
      <name val="함초롬돋움"/>
    </font>
    <font>
      <charset val="129"/>
      <color rgb="FF000000"/>
      <family val="3"/>
      <sz val="11"/>
      <name val="함초롬돋움"/>
    </font>
    <font>
      <charset val="129"/>
      <color rgb="FF000000"/>
      <family val="3"/>
      <sz val="12"/>
      <name val="함초롬돋움"/>
    </font>
    <font>
      <charset val="129"/>
      <color rgb="FF000000"/>
      <family val="3"/>
      <sz val="12"/>
      <name val="맑은 고딕"/>
    </font>
    <font>
      <b/>
      <charset val="129"/>
      <color rgb="FF000000"/>
      <family val="3"/>
      <sz val="12"/>
      <name val="함초롬돋움"/>
    </font>
    <font>
      <charset val="129"/>
      <color rgb="FF000000"/>
      <family val="1"/>
      <sz val="11"/>
      <name val="바탕"/>
    </font>
    <font>
      <charset val="129"/>
      <color rgb="FF000000"/>
      <family val="3"/>
      <sz val="14"/>
      <name val="함초롬돋움"/>
    </font>
    <font>
      <b/>
      <charset val="129"/>
      <color rgb="FFFFFFFF"/>
      <family val="3"/>
      <sz val="12"/>
      <name val="한양중고딕"/>
    </font>
    <font>
      <charset val="129"/>
      <color rgb="FF000000"/>
      <family val="3"/>
      <sz val="19"/>
      <name val="HY울릉도B"/>
    </font>
    <font>
      <b/>
      <charset val="129"/>
      <color rgb="FF000000"/>
      <family val="3"/>
      <sz val="15"/>
      <name val="맑은 고딕"/>
    </font>
    <font>
      <b/>
      <charset val="129"/>
      <color rgb="FF000000"/>
      <family val="3"/>
      <sz val="9"/>
      <name val="맑은 고딕"/>
    </font>
    <font>
      <charset val="129"/>
      <color rgb="FF000000"/>
      <family val="3"/>
      <sz val="10"/>
      <name val="돋움체"/>
    </font>
    <font>
      <charset val="129"/>
      <color rgb="FFFFFFFF"/>
      <family val="3"/>
      <sz val="10"/>
      <name val="돋움체"/>
    </font>
    <font>
      <b/>
      <charset val="129"/>
      <color rgb="FF000000"/>
      <family val="3"/>
      <sz val="11"/>
      <name val="맑은 고딕"/>
    </font>
  </fonts>
  <fills count="14">
    <fill>
      <patternFill patternType="none"/>
    </fill>
    <fill>
      <patternFill patternType="gray125"/>
    </fill>
    <fill>
      <patternFill/>
    </fill>
    <fill>
      <patternFill patternType="solid">
        <fgColor rgb="FF000000"/>
        <bgColor indexed="64"/>
      </patternFill>
    </fill>
    <fill>
      <patternFill patternType="solid">
        <fgColor rgb="FFE5E5E5"/>
        <bgColor indexed="64"/>
      </patternFill>
    </fill>
    <fill>
      <patternFill patternType="solid">
        <fgColor rgb="FFE6EEF7"/>
        <bgColor indexed="64"/>
      </patternFill>
    </fill>
    <fill>
      <patternFill patternType="solid">
        <fgColor rgb="FFD8E5F5"/>
        <bgColor indexed="64"/>
      </patternFill>
    </fill>
    <fill>
      <patternFill patternType="solid">
        <fgColor rgb="FFDFE6F7"/>
        <bgColor indexed="64"/>
      </patternFill>
    </fill>
    <fill>
      <patternFill patternType="solid">
        <fgColor rgb="FFECF2FA"/>
        <bgColor indexed="64"/>
      </patternFill>
    </fill>
    <fill>
      <patternFill patternType="solid">
        <fgColor rgb="FFDCE4ED"/>
        <bgColor indexed="64"/>
      </patternFill>
    </fill>
    <fill>
      <patternFill patternType="solid">
        <fgColor rgb="FFD9D9D9"/>
        <bgColor indexed="64"/>
      </patternFill>
    </fill>
    <fill>
      <patternFill patternType="solid">
        <fgColor rgb="FFFF6600"/>
        <bgColor indexed="64"/>
      </patternFill>
    </fill>
    <fill>
      <patternFill patternType="solid">
        <fgColor rgb="FF808080"/>
        <bgColor indexed="64"/>
      </patternFill>
    </fill>
    <fill>
      <patternFill patternType="solid">
        <fgColor rgb="FFF2F2F2"/>
        <bgColor indexed="64"/>
      </patternFill>
    </fill>
  </fills>
  <borders count="123">
    <border>
      <left/>
      <right/>
      <top/>
      <bottom/>
      <diagonal/>
    </border>
    <border>
      <left style="thin">
        <color rgb="FF000000"/>
      </left>
      <right/>
      <top/>
      <bottom/>
      <diagonal/>
    </border>
    <border>
      <left/>
      <right/>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top style="thick">
        <color rgb="FF000000"/>
      </top>
      <bottom style="thin">
        <color rgb="FF000000"/>
      </bottom>
      <diagonal/>
    </border>
    <border>
      <left style="thin"/>
      <right style="thick">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ck">
        <color rgb="FF000000"/>
      </left>
      <right style="thin">
        <color rgb="FF000000"/>
      </right>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n">
        <color rgb="FF000000"/>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ck">
        <color rgb="FF000000"/>
      </right>
      <top style="thin">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right style="thin">
        <color rgb="FF000000"/>
      </right>
      <top style="thick">
        <color rgb="FF000000"/>
      </top>
      <bottom/>
      <diagonal/>
    </border>
    <border>
      <left style="thin">
        <color rgb="FF000000"/>
      </left>
      <right style="thick">
        <color rgb="FF000000"/>
      </right>
      <top style="thick">
        <color rgb="FF000000"/>
      </top>
      <bottom style="thin">
        <color rgb="FF000000"/>
      </bottom>
      <diagonal/>
    </border>
    <border>
      <left style="thick">
        <color rgb="FF000000"/>
      </left>
      <right/>
      <top/>
      <bottom style="thick">
        <color rgb="FF000000"/>
      </bottom>
      <diagonal/>
    </border>
    <border>
      <left/>
      <right style="thin">
        <color rgb="FF000000"/>
      </right>
      <top/>
      <bottom style="thick">
        <color rgb="FF000000"/>
      </bottom>
      <diagonal/>
    </border>
    <border>
      <left style="thin">
        <color rgb="FF000000"/>
      </left>
      <right style="thin"/>
      <top style="thin">
        <color rgb="FF000000"/>
      </top>
      <bottom style="thick">
        <color rgb="FF000000"/>
      </bottom>
      <diagonal/>
    </border>
    <border>
      <left/>
      <right style="thin"/>
      <top style="thin">
        <color rgb="FF000000"/>
      </top>
      <bottom style="thick">
        <color rgb="FF000000"/>
      </bottom>
      <diagonal/>
    </border>
    <border>
      <left style="thin"/>
      <right style="thick">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medium"/>
      <right style="thin">
        <color rgb="FF000000"/>
      </right>
      <top style="medium"/>
      <bottom style="medium"/>
      <diagonal/>
    </border>
    <border>
      <left style="thin">
        <color rgb="FF000000"/>
      </left>
      <right style="thin">
        <color rgb="FF000000"/>
      </right>
      <top style="medium"/>
      <bottom style="thin">
        <color rgb="FF000000"/>
      </bottom>
      <diagonal/>
    </border>
    <border>
      <left/>
      <right style="thin">
        <color rgb="FF000000"/>
      </right>
      <top style="medium"/>
      <bottom style="thin">
        <color rgb="FF000000"/>
      </bottom>
      <diagonal/>
    </border>
    <border>
      <left style="medium"/>
      <right style="thin">
        <color rgb="FF000000"/>
      </right>
      <top/>
      <bottom/>
      <diagonal/>
    </border>
    <border>
      <left style="thin">
        <color rgb="FF000000"/>
      </left>
      <right style="medium"/>
      <top style="thin">
        <color rgb="FF000000"/>
      </top>
      <bottom style="thin">
        <color rgb="FF000000"/>
      </bottom>
      <diagonal/>
    </border>
    <border>
      <left/>
      <right style="medium"/>
      <top style="thin">
        <color rgb="FF000000"/>
      </top>
      <bottom style="thin">
        <color rgb="FF000000"/>
      </bottom>
      <diagonal/>
    </border>
    <border>
      <left style="medium"/>
      <right style="thin">
        <color rgb="FF000000"/>
      </right>
      <top/>
      <bottom style="medium"/>
      <diagonal/>
    </border>
    <border>
      <left style="thin">
        <color rgb="FF000000"/>
      </left>
      <right style="thin">
        <color rgb="FF000000"/>
      </right>
      <top style="thin">
        <color rgb="FF000000"/>
      </top>
      <bottom style="medium"/>
      <diagonal/>
    </border>
    <border>
      <left/>
      <right style="thin">
        <color rgb="FF000000"/>
      </right>
      <top style="thin">
        <color rgb="FF000000"/>
      </top>
      <bottom style="medium"/>
      <diagonal/>
    </border>
    <border>
      <left style="thin">
        <color rgb="FF000000"/>
      </left>
      <right/>
      <top style="thin">
        <color rgb="FF000000"/>
      </top>
      <bottom style="medium"/>
      <diagonal/>
    </border>
    <border>
      <left/>
      <right/>
      <top style="thin">
        <color rgb="FF000000"/>
      </top>
      <bottom style="medium"/>
      <diagonal/>
    </border>
    <border>
      <left style="thin"/>
      <right style="thin"/>
      <top style="thin"/>
      <bottom style="medium"/>
      <diagonal/>
    </border>
    <border>
      <left/>
      <right style="thin"/>
      <top style="thin"/>
      <bottom style="medium"/>
      <diagonal/>
    </border>
    <border>
      <left style="thin"/>
      <right style="medium"/>
      <top style="thin">
        <color rgb="FF000000"/>
      </top>
      <bottom style="medium"/>
      <diagonal/>
    </border>
    <border>
      <left/>
      <right style="medium"/>
      <top style="thin">
        <color rgb="FF000000"/>
      </top>
      <bottom style="medium"/>
      <diagonal/>
    </border>
    <border>
      <left style="thin"/>
      <right style="thin"/>
      <top style="medium"/>
      <bottom style="thin"/>
      <diagonal/>
    </border>
    <border>
      <left/>
      <right style="thin"/>
      <top style="medium"/>
      <bottom style="thin"/>
      <diagonal/>
    </border>
    <border>
      <left style="thin"/>
      <right style="thin"/>
      <top/>
      <bottom style="thin"/>
      <diagonal/>
    </border>
    <border>
      <left/>
      <right style="thin"/>
      <top/>
      <bottom style="thin"/>
      <diagonal/>
    </border>
    <border>
      <left style="medium"/>
      <right style="thin"/>
      <top style="medium"/>
      <bottom style="thin"/>
      <diagonal/>
    </border>
    <border>
      <left style="thin"/>
      <right style="medium"/>
      <top style="medium"/>
      <bottom style="thin"/>
      <diagonal/>
    </border>
    <border>
      <left/>
      <right/>
      <top style="medium"/>
      <bottom style="thin"/>
      <diagonal/>
    </border>
    <border>
      <left/>
      <right style="medium"/>
      <top style="medium"/>
      <bottom style="thin"/>
      <diagonal/>
    </border>
    <border>
      <left style="medium"/>
      <right style="thin"/>
      <top/>
      <bottom/>
      <diagonal/>
    </border>
    <border>
      <left style="thin"/>
      <right style="thin"/>
      <top style="thin"/>
      <bottom style="thin"/>
      <diagonal/>
    </border>
    <border>
      <left/>
      <right style="thin"/>
      <top style="thin"/>
      <bottom style="thin"/>
      <diagonal/>
    </border>
    <border>
      <left style="thin"/>
      <right style="medium"/>
      <top style="thin"/>
      <bottom style="thin"/>
      <diagonal/>
    </border>
    <border>
      <left/>
      <right/>
      <top style="thin"/>
      <bottom style="thin"/>
      <diagonal/>
    </border>
    <border>
      <left/>
      <right style="medium"/>
      <top style="thin"/>
      <bottom style="thin"/>
      <diagonal/>
    </border>
    <border>
      <left/>
      <right style="thin"/>
      <top style="thin"/>
      <bottom/>
      <diagonal/>
    </border>
    <border>
      <left/>
      <right/>
      <top style="thin"/>
      <bottom/>
      <diagonal/>
    </border>
    <border>
      <left/>
      <right style="medium"/>
      <top style="thin"/>
      <bottom/>
      <diagonal/>
    </border>
    <border>
      <left style="thin"/>
      <right/>
      <top/>
      <bottom/>
      <diagonal/>
    </border>
    <border>
      <left/>
      <right style="thin"/>
      <top/>
      <bottom/>
      <diagonal/>
    </border>
    <border>
      <left/>
      <right style="medium"/>
      <top/>
      <bottom/>
      <diagonal/>
    </border>
    <border>
      <left style="thin"/>
      <right/>
      <top/>
      <bottom style="thin"/>
      <diagonal/>
    </border>
    <border>
      <left/>
      <right/>
      <top/>
      <bottom style="thin"/>
      <diagonal/>
    </border>
    <border>
      <left/>
      <right style="medium"/>
      <top/>
      <bottom style="thin"/>
      <diagonal/>
    </border>
    <border>
      <left style="medium"/>
      <right style="thin"/>
      <top/>
      <bottom style="thin"/>
      <diagonal/>
    </border>
    <border>
      <left style="thin"/>
      <right style="thin"/>
      <top/>
      <bottom style="medium"/>
      <diagonal/>
    </border>
    <border>
      <left/>
      <right style="thin"/>
      <top/>
      <bottom style="medium"/>
      <diagonal/>
    </border>
    <border>
      <left style="thin"/>
      <right style="medium"/>
      <top style="thin"/>
      <bottom style="medium"/>
      <diagonal/>
    </border>
    <border>
      <left/>
      <right/>
      <top style="thin"/>
      <bottom style="medium"/>
      <diagonal/>
    </border>
    <border>
      <left/>
      <right style="medium"/>
      <top style="thin"/>
      <bottom style="medium"/>
      <diagonal/>
    </border>
    <border>
      <left style="medium"/>
      <right style="thin"/>
      <top style="thin"/>
      <bottom style="thin"/>
      <diagonal/>
    </border>
    <border>
      <left style="thin"/>
      <right/>
      <top style="thin"/>
      <bottom style="thin"/>
      <diagonal/>
    </border>
    <border>
      <left style="medium"/>
      <right style="thin"/>
      <top style="thin"/>
      <bottom style="medium"/>
      <diagonal/>
    </border>
    <border>
      <left style="medium"/>
      <right/>
      <top style="thin"/>
      <bottom style="medium"/>
      <diagonal/>
    </border>
    <border>
      <left style="thin"/>
      <right/>
      <top style="medium"/>
      <bottom style="thin"/>
      <diagonal/>
    </border>
    <border>
      <left style="thin"/>
      <right/>
      <top style="thin"/>
      <bottom style="medium"/>
      <diagonal/>
    </border>
    <border>
      <left style="thin"/>
      <right/>
      <top style="thin"/>
      <bottom/>
      <diagonal/>
    </border>
    <border>
      <left style="thin"/>
      <right style="thin"/>
      <top/>
      <bottom/>
      <diagonal/>
    </border>
    <border>
      <left style="thin"/>
      <right style="thin"/>
      <top style="thin"/>
      <bottom/>
      <diagonal/>
    </border>
    <border>
      <left style="medium"/>
      <right/>
      <top style="thin"/>
      <bottom style="thin"/>
      <diagonal/>
    </border>
    <border>
      <left style="thin"/>
      <right style="medium"/>
      <top/>
      <bottom/>
      <diagonal/>
    </border>
    <border>
      <left style="thin"/>
      <right style="medium"/>
      <top/>
      <bottom style="thin"/>
      <diagonal/>
    </border>
    <border>
      <left/>
      <right style="medium"/>
      <top style="medium"/>
      <bottom/>
      <diagonal/>
    </border>
    <border>
      <left/>
      <right/>
      <top style="medium"/>
      <bottom/>
      <diagonal/>
    </border>
    <border>
      <left style="medium"/>
      <right style="medium"/>
      <top/>
      <bottom style="medium"/>
      <diagonal/>
    </border>
    <border>
      <left style="medium"/>
      <right/>
      <top/>
      <bottom/>
      <diagonal/>
    </border>
    <border>
      <left style="medium"/>
      <right/>
      <top/>
      <bottom style="medium"/>
      <diagonal/>
    </border>
    <border>
      <left/>
      <right/>
      <top/>
      <bottom style="medium"/>
      <diagonal/>
    </border>
    <border>
      <left/>
      <right style="medium"/>
      <top/>
      <bottom style="medium"/>
      <diagonal/>
    </border>
    <border>
      <left style="thin"/>
      <right style="thin"/>
      <top style="thin"/>
      <bottom style="double"/>
      <diagonal/>
    </border>
    <border>
      <left/>
      <right/>
      <top style="thin"/>
      <bottom style="double"/>
      <diagonal/>
    </border>
    <border>
      <left/>
      <right style="thin"/>
      <top style="thin"/>
      <bottom style="double"/>
      <diagonal/>
    </border>
    <border>
      <left style="thin">
        <color rgb="FF000000"/>
      </left>
      <right style="thin">
        <color rgb="FF000000"/>
      </right>
      <top style="medium"/>
      <bottom style="medium"/>
      <diagonal/>
    </border>
    <border>
      <left/>
      <right style="thin">
        <color rgb="FF000000"/>
      </right>
      <top style="medium"/>
      <bottom style="medium"/>
      <diagonal/>
    </border>
    <border>
      <left style="thin">
        <color rgb="FF000000"/>
      </left>
      <right style="medium"/>
      <top style="medium"/>
      <bottom style="medium"/>
      <diagonal/>
    </border>
    <border>
      <left style="medium"/>
      <right style="thin">
        <color rgb="FF000000"/>
      </right>
      <top style="medium"/>
      <bottom style="thin">
        <color rgb="FF000000"/>
      </bottom>
      <diagonal/>
    </border>
    <border>
      <left style="thin">
        <color rgb="FF000000"/>
      </left>
      <right style="medium"/>
      <top style="medium"/>
      <bottom style="thin">
        <color rgb="FF000000"/>
      </bottom>
      <diagonal/>
    </border>
    <border>
      <left style="medium"/>
      <right style="thin">
        <color rgb="FF000000"/>
      </right>
      <top style="thin">
        <color rgb="FF000000"/>
      </top>
      <bottom style="thin">
        <color rgb="FF000000"/>
      </bottom>
      <diagonal/>
    </border>
    <border>
      <left style="medium"/>
      <right style="medium"/>
      <top style="thin">
        <color rgb="FF000000"/>
      </top>
      <bottom style="thin">
        <color rgb="FF000000"/>
      </bottom>
      <diagonal/>
    </border>
    <border>
      <left style="medium"/>
      <right style="thin">
        <color rgb="FF000000"/>
      </right>
      <top style="thin">
        <color rgb="FF000000"/>
      </top>
      <bottom/>
      <diagonal/>
    </border>
    <border>
      <left style="thin">
        <color rgb="FF000000"/>
      </left>
      <right style="medium"/>
      <top style="thin">
        <color rgb="FF000000"/>
      </top>
      <bottom/>
      <diagonal/>
    </border>
    <border>
      <left/>
      <right style="medium"/>
      <top style="thin">
        <color rgb="FF000000"/>
      </top>
      <bottom/>
      <diagonal/>
    </border>
    <border>
      <left style="thin">
        <color rgb="FF000000"/>
      </left>
      <right style="medium"/>
      <top/>
      <bottom/>
      <diagonal/>
    </border>
    <border>
      <left style="medium"/>
      <right style="thin">
        <color rgb="FF000000"/>
      </right>
      <top style="thin">
        <color rgb="FF000000"/>
      </top>
      <bottom style="medium"/>
      <diagonal/>
    </border>
    <border>
      <left style="thin">
        <color rgb="FF000000"/>
      </left>
      <right style="medium"/>
      <top style="thin">
        <color rgb="FF000000"/>
      </top>
      <bottom style="medium"/>
      <diagonal/>
    </border>
    <border>
      <left style="thin">
        <color rgb="FF000000"/>
      </left>
      <right/>
      <top style="thin">
        <color rgb="FF000000"/>
      </top>
      <bottom style="thin">
        <color rgb="FF000000"/>
      </bottom>
      <diagonal/>
    </border>
  </borders>
  <cellStyleXfs count="1">
    <xf numFmtId="0" fontId="0" fillId="0" borderId="0"/>
  </cellStyleXfs>
  <cellXfs count="316">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4" fillId="2" borderId="0" xfId="0" applyFont="1" applyFill="1" applyAlignment="1">
      <alignment horizontal="center" vertical="center"/>
    </xf>
    <xf numFmtId="0" fontId="5" fillId="5"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1" fillId="2" borderId="2" xfId="0" applyFont="1" applyFill="1" applyBorder="1"/>
    <xf numFmtId="0" fontId="6" fillId="2" borderId="2" xfId="0" applyFont="1" applyFill="1" applyBorder="1" applyAlignment="1">
      <alignment horizontal="left"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distributed" vertical="distributed"/>
    </xf>
    <xf numFmtId="0" fontId="1" fillId="2" borderId="5" xfId="0" applyFont="1" applyFill="1" applyBorder="1"/>
    <xf numFmtId="0" fontId="4" fillId="2" borderId="4" xfId="0" applyFont="1" applyFill="1" applyBorder="1" applyAlignment="1">
      <alignment horizontal="distributed" vertical="distributed"/>
    </xf>
    <xf numFmtId="164" fontId="6" fillId="2" borderId="6" xfId="0" applyNumberFormat="1" applyFont="1" applyFill="1" applyBorder="1" applyAlignment="1">
      <alignment horizontal="center" vertical="center" wrapText="1"/>
    </xf>
    <xf numFmtId="14" fontId="6" fillId="2" borderId="7" xfId="0" applyNumberFormat="1" applyFont="1" applyFill="1" applyBorder="1" applyAlignment="1">
      <alignment horizontal="center" vertical="center" wrapText="1"/>
    </xf>
    <xf numFmtId="0" fontId="1" fillId="2" borderId="8" xfId="0" applyFont="1" applyFill="1" applyBorder="1"/>
    <xf numFmtId="0" fontId="4" fillId="5" borderId="9" xfId="0" applyFont="1" applyFill="1" applyBorder="1" applyAlignment="1">
      <alignment horizontal="distributed" vertical="distributed"/>
    </xf>
    <xf numFmtId="0" fontId="1" fillId="2" borderId="10" xfId="0" applyFont="1" applyFill="1" applyBorder="1"/>
    <xf numFmtId="0" fontId="4"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12" xfId="0" applyFont="1" applyFill="1" applyBorder="1"/>
    <xf numFmtId="0" fontId="1" fillId="2" borderId="13" xfId="0" applyFont="1" applyFill="1" applyBorder="1"/>
    <xf numFmtId="0" fontId="4" fillId="2" borderId="11" xfId="0" applyFont="1" applyFill="1" applyBorder="1" applyAlignment="1">
      <alignment horizontal="center" vertical="center" wrapText="1"/>
    </xf>
    <xf numFmtId="0" fontId="1" fillId="2" borderId="14" xfId="0" applyFont="1" applyFill="1" applyBorder="1"/>
    <xf numFmtId="0" fontId="1" fillId="2" borderId="15" xfId="0" applyFont="1" applyFill="1" applyBorder="1"/>
    <xf numFmtId="0" fontId="4" fillId="2" borderId="11" xfId="0" applyFont="1" applyFill="1" applyBorder="1" applyAlignment="1">
      <alignment horizontal="left" vertical="distributed"/>
    </xf>
    <xf numFmtId="0" fontId="1" fillId="2" borderId="16" xfId="0" applyFont="1" applyFill="1" applyBorder="1"/>
    <xf numFmtId="0" fontId="4" fillId="2" borderId="9" xfId="0" applyFont="1" applyFill="1" applyBorder="1" applyAlignment="1">
      <alignment horizontal="center" vertical="distributed"/>
    </xf>
    <xf numFmtId="0" fontId="4" fillId="2" borderId="11" xfId="0" applyFont="1" applyFill="1" applyBorder="1" applyAlignment="1">
      <alignment horizontal="center" vertical="distributed"/>
    </xf>
    <xf numFmtId="0" fontId="1" fillId="2" borderId="17" xfId="0" applyFont="1" applyFill="1" applyBorder="1"/>
    <xf numFmtId="165" fontId="4" fillId="2" borderId="9" xfId="0" applyNumberFormat="1" applyFont="1" applyFill="1" applyBorder="1" applyAlignment="1">
      <alignment horizontal="center" vertical="distributed"/>
    </xf>
    <xf numFmtId="0" fontId="4" fillId="5" borderId="18"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6" fillId="2" borderId="11" xfId="0" applyFont="1" applyFill="1" applyBorder="1" applyAlignment="1">
      <alignment horizontal="left" vertical="center" wrapText="1"/>
    </xf>
    <xf numFmtId="0" fontId="1" fillId="2" borderId="20" xfId="0" applyFont="1" applyFill="1" applyBorder="1"/>
    <xf numFmtId="0" fontId="1" fillId="2" borderId="21" xfId="0" applyFont="1" applyFill="1" applyBorder="1"/>
    <xf numFmtId="0" fontId="1" fillId="2" borderId="22" xfId="0" applyFont="1" applyFill="1" applyBorder="1"/>
    <xf numFmtId="0" fontId="1" fillId="2" borderId="23" xfId="0" applyFont="1" applyFill="1" applyBorder="1"/>
    <xf numFmtId="0" fontId="1" fillId="2" borderId="1" xfId="0" applyFont="1" applyFill="1" applyBorder="1"/>
    <xf numFmtId="0" fontId="1" fillId="2" borderId="24" xfId="0" applyFont="1" applyFill="1" applyBorder="1"/>
    <xf numFmtId="0" fontId="1" fillId="2" borderId="25" xfId="0" applyFont="1" applyFill="1" applyBorder="1"/>
    <xf numFmtId="0" fontId="1" fillId="2" borderId="26" xfId="0" applyFont="1" applyFill="1" applyBorder="1"/>
    <xf numFmtId="0" fontId="1" fillId="2" borderId="27" xfId="0" applyFont="1" applyFill="1" applyBorder="1"/>
    <xf numFmtId="0" fontId="1" fillId="2" borderId="28" xfId="0" applyFont="1" applyFill="1" applyBorder="1" applyAlignment="1">
      <alignment horizontal="justify" vertical="center" wrapText="1"/>
    </xf>
    <xf numFmtId="0" fontId="3" fillId="2" borderId="29" xfId="0" applyFont="1" applyFill="1" applyBorder="1" applyAlignment="1">
      <alignment horizontal="center" vertical="center" wrapText="1"/>
    </xf>
    <xf numFmtId="14" fontId="3" fillId="2" borderId="29" xfId="0" applyNumberFormat="1" applyFont="1" applyFill="1" applyBorder="1" applyAlignment="1">
      <alignment horizontal="center" vertical="center" wrapText="1"/>
    </xf>
    <xf numFmtId="0" fontId="7" fillId="2" borderId="25" xfId="0" applyFont="1" applyFill="1" applyBorder="1" applyAlignment="1">
      <alignment horizontal="right" vertical="center" wrapText="1"/>
    </xf>
    <xf numFmtId="0" fontId="7" fillId="2" borderId="26" xfId="0" applyFont="1" applyFill="1" applyBorder="1" applyAlignment="1">
      <alignment horizontal="center" vertical="center" wrapText="1"/>
    </xf>
    <xf numFmtId="0" fontId="7" fillId="2" borderId="27" xfId="0" applyFont="1" applyFill="1" applyBorder="1" applyAlignment="1">
      <alignment vertical="center" wrapText="1"/>
    </xf>
    <xf numFmtId="0" fontId="8" fillId="2" borderId="18" xfId="0" applyFont="1" applyFill="1" applyBorder="1" applyAlignment="1">
      <alignment horizontal="center" vertical="center" wrapText="1"/>
    </xf>
    <xf numFmtId="0" fontId="6" fillId="2" borderId="28" xfId="0" applyFont="1" applyFill="1" applyBorder="1" applyAlignment="1">
      <alignment horizontal="justify" vertical="center" wrapText="1"/>
    </xf>
    <xf numFmtId="0" fontId="6" fillId="2" borderId="30" xfId="0" applyFont="1" applyFill="1" applyBorder="1" applyAlignment="1">
      <alignment horizontal="justify" vertical="center" wrapText="1"/>
    </xf>
    <xf numFmtId="0" fontId="1" fillId="2" borderId="31" xfId="0" applyFont="1" applyFill="1" applyBorder="1"/>
    <xf numFmtId="0" fontId="7" fillId="2" borderId="32" xfId="0" applyFont="1" applyFill="1" applyBorder="1" applyAlignment="1">
      <alignment horizontal="justify" vertical="center" wrapText="1"/>
    </xf>
    <xf numFmtId="0" fontId="1" fillId="2" borderId="32" xfId="0" applyFont="1" applyFill="1" applyBorder="1"/>
    <xf numFmtId="0" fontId="4" fillId="5" borderId="33" xfId="0" applyFont="1" applyFill="1" applyBorder="1" applyAlignment="1">
      <alignment horizontal="center" vertical="center" wrapText="1"/>
    </xf>
    <xf numFmtId="0" fontId="1" fillId="2" borderId="34" xfId="0" applyFont="1" applyFill="1" applyBorder="1"/>
    <xf numFmtId="0" fontId="4" fillId="5" borderId="4" xfId="0" applyFont="1" applyFill="1" applyBorder="1" applyAlignment="1">
      <alignment horizontal="justify" vertical="center" wrapText="1"/>
    </xf>
    <xf numFmtId="0" fontId="6" fillId="2" borderId="4"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4" fillId="5" borderId="9" xfId="0" applyFont="1" applyFill="1" applyBorder="1" applyAlignment="1">
      <alignment horizontal="justify" vertical="center" wrapText="1"/>
    </xf>
    <xf numFmtId="0" fontId="6" fillId="2" borderId="9" xfId="0" applyFont="1" applyFill="1" applyBorder="1" applyAlignment="1">
      <alignment horizontal="center" vertical="center" wrapText="1"/>
    </xf>
    <xf numFmtId="0" fontId="1" fillId="2" borderId="36" xfId="0" applyFont="1" applyFill="1" applyBorder="1"/>
    <xf numFmtId="0" fontId="1" fillId="2" borderId="37" xfId="0" applyFont="1" applyFill="1" applyBorder="1"/>
    <xf numFmtId="0" fontId="6" fillId="6" borderId="38" xfId="0" applyFont="1" applyFill="1" applyBorder="1" applyAlignment="1">
      <alignment horizontal="center" vertical="center" wrapText="1"/>
    </xf>
    <xf numFmtId="0" fontId="1" fillId="2" borderId="39" xfId="0" applyFont="1" applyFill="1" applyBorder="1"/>
    <xf numFmtId="0" fontId="6" fillId="2" borderId="40" xfId="0" applyFont="1" applyFill="1" applyBorder="1" applyAlignment="1">
      <alignment horizontal="center" vertical="center" wrapText="1"/>
    </xf>
    <xf numFmtId="0" fontId="1" fillId="2" borderId="41" xfId="0" applyFont="1" applyFill="1" applyBorder="1"/>
    <xf numFmtId="0" fontId="1" fillId="2" borderId="42" xfId="0" applyFont="1" applyFill="1" applyBorder="1"/>
    <xf numFmtId="0" fontId="9" fillId="2" borderId="0" xfId="0" applyFont="1" applyFill="1" applyAlignment="1">
      <alignment horizontal="right" vertical="center" indent="2"/>
    </xf>
    <xf numFmtId="0" fontId="4" fillId="7" borderId="43" xfId="0" applyFont="1" applyFill="1" applyBorder="1" applyAlignment="1">
      <alignment horizontal="center" vertical="center" wrapText="1" textRotation="255"/>
    </xf>
    <xf numFmtId="0" fontId="4" fillId="7" borderId="44" xfId="0" applyFont="1" applyFill="1" applyBorder="1" applyAlignment="1">
      <alignment horizontal="distributed" vertical="distributed"/>
    </xf>
    <xf numFmtId="0" fontId="1" fillId="2" borderId="45" xfId="0" applyFont="1" applyFill="1" applyBorder="1"/>
    <xf numFmtId="0" fontId="4" fillId="2" borderId="44" xfId="0" applyFont="1" applyFill="1" applyBorder="1" applyAlignment="1">
      <alignment horizontal="distributed" vertical="distributed"/>
    </xf>
    <xf numFmtId="0" fontId="1" fillId="2" borderId="46" xfId="0" applyFont="1" applyFill="1" applyBorder="1"/>
    <xf numFmtId="0" fontId="4" fillId="7" borderId="9" xfId="0" applyFont="1" applyFill="1" applyBorder="1" applyAlignment="1">
      <alignment horizontal="distributed" vertical="distributed"/>
    </xf>
    <xf numFmtId="0" fontId="4" fillId="2" borderId="9" xfId="0" applyFont="1" applyFill="1" applyBorder="1" applyAlignment="1">
      <alignment horizontal="left" vertical="center" wrapText="1" indent="1"/>
    </xf>
    <xf numFmtId="0" fontId="6" fillId="2" borderId="47" xfId="0" applyFont="1" applyFill="1" applyBorder="1" applyAlignment="1">
      <alignment horizontal="center" vertical="center" shrinkToFit="1"/>
    </xf>
    <xf numFmtId="0" fontId="1" fillId="2" borderId="48" xfId="0" applyFont="1" applyFill="1" applyBorder="1"/>
    <xf numFmtId="0" fontId="4" fillId="2" borderId="9" xfId="0" applyFont="1" applyFill="1" applyBorder="1" applyAlignment="1">
      <alignment horizontal="left" vertical="center" wrapText="1"/>
    </xf>
    <xf numFmtId="0" fontId="4" fillId="2" borderId="47" xfId="0" applyFont="1" applyFill="1" applyBorder="1" applyAlignment="1">
      <alignment horizontal="center" vertical="center" wrapText="1"/>
    </xf>
    <xf numFmtId="0" fontId="4" fillId="2" borderId="47" xfId="0" applyFont="1" applyFill="1" applyBorder="1" applyAlignment="1">
      <alignment horizontal="left" vertical="distributed" indent="1"/>
    </xf>
    <xf numFmtId="0" fontId="1" fillId="2" borderId="49" xfId="0" applyFont="1" applyFill="1" applyBorder="1"/>
    <xf numFmtId="0" fontId="4" fillId="7" borderId="50" xfId="0" applyFont="1" applyFill="1" applyBorder="1" applyAlignment="1">
      <alignment horizontal="distributed" vertical="distributed"/>
    </xf>
    <xf numFmtId="0" fontId="1" fillId="2" borderId="51" xfId="0" applyFont="1" applyFill="1" applyBorder="1"/>
    <xf numFmtId="0" fontId="4" fillId="2" borderId="52" xfId="0" applyFont="1" applyFill="1" applyBorder="1" applyAlignment="1">
      <alignment horizontal="center" vertical="distributed"/>
    </xf>
    <xf numFmtId="0" fontId="1" fillId="2" borderId="53" xfId="0" applyFont="1" applyFill="1" applyBorder="1"/>
    <xf numFmtId="0" fontId="4" fillId="7" borderId="54" xfId="0" applyFont="1" applyFill="1" applyBorder="1" applyAlignment="1">
      <alignment horizontal="center" vertical="distributed"/>
    </xf>
    <xf numFmtId="0" fontId="1" fillId="2" borderId="55" xfId="0" applyFont="1" applyFill="1" applyBorder="1"/>
    <xf numFmtId="0" fontId="4" fillId="2" borderId="56" xfId="0" applyFont="1" applyFill="1" applyBorder="1" applyAlignment="1">
      <alignment horizontal="center" vertical="distributed"/>
    </xf>
    <xf numFmtId="0" fontId="1" fillId="2" borderId="57" xfId="0" applyFont="1" applyFill="1" applyBorder="1"/>
    <xf numFmtId="0" fontId="4" fillId="8" borderId="58" xfId="0" applyFont="1" applyFill="1" applyBorder="1" applyAlignment="1">
      <alignment horizontal="center" vertical="center" wrapText="1"/>
    </xf>
    <xf numFmtId="0" fontId="1" fillId="2" borderId="59" xfId="0" applyFont="1" applyFill="1" applyBorder="1"/>
    <xf numFmtId="0" fontId="4" fillId="2" borderId="60" xfId="0" applyFont="1" applyFill="1" applyBorder="1" applyAlignment="1">
      <alignment horizontal="center" vertical="center" wrapText="1"/>
    </xf>
    <xf numFmtId="0" fontId="1" fillId="2" borderId="61" xfId="0" applyFont="1" applyFill="1" applyBorder="1"/>
    <xf numFmtId="14" fontId="4" fillId="8" borderId="60" xfId="0" applyNumberFormat="1" applyFont="1" applyFill="1" applyBorder="1" applyAlignment="1">
      <alignment horizontal="center" vertical="center" wrapText="1"/>
    </xf>
    <xf numFmtId="0" fontId="4" fillId="8" borderId="60" xfId="0" applyFont="1" applyFill="1" applyBorder="1" applyAlignment="1">
      <alignment horizontal="center" vertical="center" wrapText="1"/>
    </xf>
    <xf numFmtId="0" fontId="4" fillId="2" borderId="60" xfId="0" applyFont="1" applyFill="1" applyBorder="1" applyAlignment="1">
      <alignment vertical="center" wrapText="1"/>
    </xf>
    <xf numFmtId="0" fontId="4" fillId="9" borderId="62" xfId="0" applyFont="1" applyFill="1" applyBorder="1" applyAlignment="1">
      <alignment horizontal="center" vertical="center" textRotation="255"/>
    </xf>
    <xf numFmtId="0" fontId="4" fillId="9" borderId="58" xfId="0" applyFont="1" applyFill="1" applyBorder="1" applyAlignment="1">
      <alignment horizontal="center" vertical="center"/>
    </xf>
    <xf numFmtId="0" fontId="4" fillId="9" borderId="63" xfId="0" applyFont="1" applyFill="1" applyBorder="1" applyAlignment="1">
      <alignment horizontal="center" vertical="center"/>
    </xf>
    <xf numFmtId="0" fontId="1" fillId="2" borderId="64" xfId="0" applyFont="1" applyFill="1" applyBorder="1"/>
    <xf numFmtId="0" fontId="1" fillId="2" borderId="65" xfId="0" applyFont="1" applyFill="1" applyBorder="1"/>
    <xf numFmtId="0" fontId="1" fillId="2" borderId="66" xfId="0" applyFont="1" applyFill="1" applyBorder="1"/>
    <xf numFmtId="166" fontId="6" fillId="2" borderId="67" xfId="0" applyNumberFormat="1" applyFont="1" applyFill="1" applyBorder="1" applyAlignment="1">
      <alignment horizontal="center" vertical="center"/>
    </xf>
    <xf numFmtId="0" fontId="1" fillId="2" borderId="68" xfId="0" applyFont="1" applyFill="1" applyBorder="1"/>
    <xf numFmtId="0" fontId="6" fillId="2" borderId="69" xfId="0" applyFont="1" applyFill="1" applyBorder="1" applyAlignment="1">
      <alignment horizontal="left" vertical="center"/>
    </xf>
    <xf numFmtId="0" fontId="1" fillId="2" borderId="70" xfId="0" applyFont="1" applyFill="1" applyBorder="1"/>
    <xf numFmtId="0" fontId="1" fillId="2" borderId="71" xfId="0" applyFont="1" applyFill="1" applyBorder="1"/>
    <xf numFmtId="0" fontId="1" fillId="2" borderId="72" xfId="0" applyFont="1" applyFill="1" applyBorder="1"/>
    <xf numFmtId="0" fontId="6" fillId="2" borderId="69" xfId="0" applyFont="1" applyFill="1" applyBorder="1" applyAlignment="1">
      <alignment horizontal="left" vertical="center" wrapText="1"/>
    </xf>
    <xf numFmtId="0" fontId="1" fillId="2" borderId="73" xfId="0" applyFont="1" applyFill="1" applyBorder="1"/>
    <xf numFmtId="0" fontId="1" fillId="2" borderId="74" xfId="0" applyFont="1" applyFill="1" applyBorder="1"/>
    <xf numFmtId="0" fontId="1" fillId="2" borderId="75" xfId="0" applyFont="1" applyFill="1" applyBorder="1"/>
    <xf numFmtId="0" fontId="1" fillId="2" borderId="76" xfId="0" applyFont="1" applyFill="1" applyBorder="1"/>
    <xf numFmtId="0" fontId="1" fillId="2" borderId="77" xfId="0" applyFont="1" applyFill="1" applyBorder="1"/>
    <xf numFmtId="0" fontId="1" fillId="2" borderId="78" xfId="0" applyFont="1" applyFill="1" applyBorder="1"/>
    <xf numFmtId="0" fontId="1" fillId="2" borderId="79" xfId="0" applyFont="1" applyFill="1" applyBorder="1"/>
    <xf numFmtId="0" fontId="1" fillId="2" borderId="80" xfId="0" applyFont="1" applyFill="1" applyBorder="1"/>
    <xf numFmtId="166" fontId="6" fillId="2" borderId="60" xfId="0" applyNumberFormat="1" applyFont="1" applyFill="1" applyBorder="1" applyAlignment="1">
      <alignment horizontal="center" vertical="center"/>
    </xf>
    <xf numFmtId="0" fontId="1" fillId="2" borderId="81" xfId="0" applyFont="1" applyFill="1" applyBorder="1"/>
    <xf numFmtId="166" fontId="6" fillId="2" borderId="82" xfId="0" applyNumberFormat="1" applyFont="1" applyFill="1" applyBorder="1" applyAlignment="1">
      <alignment horizontal="center" vertical="center"/>
    </xf>
    <xf numFmtId="0" fontId="1" fillId="2" borderId="83" xfId="0" applyFont="1" applyFill="1" applyBorder="1"/>
    <xf numFmtId="0" fontId="6" fillId="2" borderId="84" xfId="0" applyFont="1" applyFill="1" applyBorder="1" applyAlignment="1">
      <alignment horizontal="left" vertical="center"/>
    </xf>
    <xf numFmtId="0" fontId="1" fillId="2" borderId="85" xfId="0" applyFont="1" applyFill="1" applyBorder="1"/>
    <xf numFmtId="0" fontId="1" fillId="2" borderId="86" xfId="0" applyFont="1" applyFill="1" applyBorder="1"/>
    <xf numFmtId="0" fontId="4" fillId="2" borderId="0" xfId="0" applyFont="1" applyFill="1" applyAlignment="1">
      <alignment vertical="center" textRotation="255"/>
    </xf>
    <xf numFmtId="0" fontId="6" fillId="2" borderId="0" xfId="0" applyFont="1" applyFill="1" applyAlignment="1">
      <alignment horizontal="left" vertical="center"/>
    </xf>
    <xf numFmtId="0" fontId="6" fillId="2" borderId="0" xfId="0" applyFont="1" applyFill="1" applyAlignment="1">
      <alignment vertical="center"/>
    </xf>
    <xf numFmtId="0" fontId="4" fillId="2" borderId="0" xfId="0" applyFont="1" applyFill="1" applyAlignment="1">
      <alignment vertical="center"/>
    </xf>
    <xf numFmtId="0" fontId="6" fillId="9" borderId="62" xfId="0" applyFont="1" applyFill="1" applyBorder="1" applyAlignment="1">
      <alignment horizontal="center" vertical="center"/>
    </xf>
    <xf numFmtId="0" fontId="6" fillId="9" borderId="58" xfId="0" applyFont="1" applyFill="1" applyBorder="1" applyAlignment="1">
      <alignment horizontal="center" vertical="center"/>
    </xf>
    <xf numFmtId="0" fontId="6" fillId="9" borderId="58" xfId="0" applyFont="1" applyFill="1" applyBorder="1" applyAlignment="1">
      <alignment vertical="center"/>
    </xf>
    <xf numFmtId="0" fontId="6" fillId="9" borderId="63" xfId="0" applyFont="1" applyFill="1" applyBorder="1" applyAlignment="1">
      <alignment horizontal="center" vertical="center"/>
    </xf>
    <xf numFmtId="0" fontId="6" fillId="2" borderId="87" xfId="0" applyFont="1" applyFill="1" applyBorder="1" applyAlignment="1">
      <alignment horizontal="center" vertical="center"/>
    </xf>
    <xf numFmtId="167" fontId="6" fillId="2" borderId="67" xfId="0" applyNumberFormat="1" applyFont="1" applyFill="1" applyBorder="1" applyAlignment="1">
      <alignment horizontal="center" vertical="center"/>
    </xf>
    <xf numFmtId="0" fontId="6" fillId="2" borderId="88" xfId="0" applyFont="1" applyFill="1" applyBorder="1" applyAlignment="1">
      <alignment vertical="center"/>
    </xf>
    <xf numFmtId="0" fontId="6" fillId="2" borderId="67" xfId="0" applyFont="1" applyFill="1" applyBorder="1" applyAlignment="1">
      <alignment horizontal="center" vertical="center"/>
    </xf>
    <xf numFmtId="167" fontId="6" fillId="2" borderId="67" xfId="0" applyNumberFormat="1" applyFont="1" applyFill="1" applyBorder="1" applyAlignment="1">
      <alignment vertical="center"/>
    </xf>
    <xf numFmtId="0" fontId="10" fillId="2" borderId="69" xfId="0" applyFont="1" applyFill="1" applyBorder="1" applyAlignment="1">
      <alignment vertical="center"/>
    </xf>
    <xf numFmtId="0" fontId="6" fillId="2" borderId="67" xfId="0" applyFont="1" applyFill="1" applyBorder="1" applyAlignment="1">
      <alignment horizontal="center" vertical="center" wrapText="1"/>
    </xf>
    <xf numFmtId="0" fontId="6" fillId="2" borderId="69" xfId="0" applyFont="1" applyFill="1" applyBorder="1" applyAlignment="1">
      <alignment vertical="center"/>
    </xf>
    <xf numFmtId="0" fontId="6" fillId="2" borderId="67" xfId="0" applyFont="1" applyFill="1" applyBorder="1" applyAlignment="1">
      <alignment vertical="center"/>
    </xf>
    <xf numFmtId="0" fontId="4" fillId="2" borderId="89" xfId="0" applyFont="1" applyFill="1" applyBorder="1" applyAlignment="1">
      <alignment horizontal="center" vertical="center"/>
    </xf>
    <xf numFmtId="167" fontId="6" fillId="2" borderId="85" xfId="0" applyNumberFormat="1" applyFont="1" applyFill="1" applyBorder="1" applyAlignment="1">
      <alignment vertical="center"/>
    </xf>
    <xf numFmtId="0" fontId="6" fillId="2" borderId="54" xfId="0" applyFont="1" applyFill="1" applyBorder="1" applyAlignment="1">
      <alignment vertical="center"/>
    </xf>
    <xf numFmtId="0" fontId="4" fillId="2" borderId="54" xfId="0" applyFont="1" applyFill="1" applyBorder="1" applyAlignment="1">
      <alignment horizontal="center" vertical="center"/>
    </xf>
    <xf numFmtId="167" fontId="6" fillId="2" borderId="54" xfId="0" applyNumberFormat="1" applyFont="1" applyFill="1" applyBorder="1" applyAlignment="1">
      <alignment vertical="center"/>
    </xf>
    <xf numFmtId="0" fontId="6" fillId="2" borderId="84" xfId="0" applyFont="1" applyFill="1" applyBorder="1" applyAlignment="1">
      <alignment vertical="center"/>
    </xf>
    <xf numFmtId="0" fontId="4" fillId="9" borderId="67" xfId="0" applyFont="1" applyFill="1" applyBorder="1" applyAlignment="1">
      <alignment horizontal="center" vertical="center"/>
    </xf>
    <xf numFmtId="0" fontId="4" fillId="9" borderId="67" xfId="0" applyFont="1" applyFill="1" applyBorder="1" applyAlignment="1">
      <alignment vertical="center"/>
    </xf>
    <xf numFmtId="168" fontId="6" fillId="2" borderId="67" xfId="0" applyNumberFormat="1" applyFont="1" applyFill="1" applyBorder="1" applyAlignment="1">
      <alignment vertical="center"/>
    </xf>
    <xf numFmtId="169" fontId="6" fillId="2" borderId="67" xfId="0" applyNumberFormat="1" applyFont="1" applyFill="1" applyBorder="1" applyAlignment="1">
      <alignment vertical="center"/>
    </xf>
    <xf numFmtId="0" fontId="11" fillId="2" borderId="73" xfId="0" applyFont="1" applyFill="1" applyBorder="1" applyAlignment="1">
      <alignment horizontal="left" vertical="center"/>
    </xf>
    <xf numFmtId="0" fontId="4" fillId="9" borderId="62" xfId="0" applyFont="1" applyFill="1" applyBorder="1" applyAlignment="1">
      <alignment horizontal="center" vertical="center"/>
    </xf>
    <xf numFmtId="0" fontId="6" fillId="2" borderId="87" xfId="0" applyFont="1" applyFill="1" applyBorder="1" applyAlignment="1">
      <alignment horizontal="left" vertical="center"/>
    </xf>
    <xf numFmtId="168" fontId="6" fillId="2" borderId="67" xfId="0" applyNumberFormat="1" applyFont="1" applyFill="1" applyBorder="1" applyAlignment="1">
      <alignment horizontal="center" vertical="center"/>
    </xf>
    <xf numFmtId="0" fontId="6" fillId="9" borderId="67" xfId="0" applyFont="1" applyFill="1" applyBorder="1" applyAlignment="1">
      <alignment horizontal="center" vertical="center"/>
    </xf>
    <xf numFmtId="170" fontId="6" fillId="7" borderId="88" xfId="0" applyNumberFormat="1" applyFont="1" applyFill="1" applyBorder="1" applyAlignment="1">
      <alignment horizontal="left" vertical="center" indent="1"/>
    </xf>
    <xf numFmtId="171" fontId="6" fillId="2" borderId="88" xfId="0" applyNumberFormat="1" applyFont="1" applyFill="1" applyBorder="1" applyAlignment="1">
      <alignment horizontal="right" vertical="center"/>
    </xf>
    <xf numFmtId="170" fontId="6" fillId="2" borderId="70" xfId="0" applyNumberFormat="1" applyFont="1" applyFill="1" applyBorder="1" applyAlignment="1">
      <alignment vertical="center"/>
    </xf>
    <xf numFmtId="0" fontId="11" fillId="2" borderId="70" xfId="0" applyFont="1" applyFill="1" applyBorder="1" applyAlignment="1">
      <alignment vertical="center"/>
    </xf>
    <xf numFmtId="171" fontId="1" fillId="2" borderId="68" xfId="0" applyNumberFormat="1" applyFont="1" applyFill="1" applyBorder="1" applyAlignment="1">
      <alignment vertical="center"/>
    </xf>
    <xf numFmtId="0" fontId="6" fillId="2" borderId="0" xfId="0" applyFont="1" applyFill="1" applyAlignment="1">
      <alignment horizontal="center" vertical="center"/>
    </xf>
    <xf numFmtId="170" fontId="6" fillId="2" borderId="0" xfId="0" applyNumberFormat="1" applyFont="1" applyFill="1" applyAlignment="1">
      <alignment horizontal="left" vertical="center" indent="1"/>
    </xf>
    <xf numFmtId="171" fontId="6" fillId="2" borderId="0" xfId="0" applyNumberFormat="1" applyFont="1" applyFill="1" applyAlignment="1">
      <alignment horizontal="right" vertical="center"/>
    </xf>
    <xf numFmtId="170" fontId="6" fillId="2" borderId="0" xfId="0" applyNumberFormat="1" applyFont="1" applyFill="1" applyAlignment="1">
      <alignment vertical="center"/>
    </xf>
    <xf numFmtId="0" fontId="11" fillId="2" borderId="0" xfId="0" applyFont="1" applyFill="1" applyAlignment="1">
      <alignment vertical="center"/>
    </xf>
    <xf numFmtId="171" fontId="1" fillId="2" borderId="0" xfId="0" applyNumberFormat="1" applyFont="1" applyFill="1" applyAlignment="1">
      <alignment vertical="center"/>
    </xf>
    <xf numFmtId="0" fontId="4" fillId="2" borderId="0" xfId="0" applyFont="1" applyFill="1" applyAlignment="1">
      <alignment horizontal="left" vertical="center"/>
    </xf>
    <xf numFmtId="0" fontId="6" fillId="2" borderId="67" xfId="0" applyFont="1" applyFill="1" applyBorder="1" applyAlignment="1">
      <alignment horizontal="left" vertical="center"/>
    </xf>
    <xf numFmtId="0" fontId="6" fillId="2" borderId="73" xfId="0" applyFont="1" applyFill="1" applyBorder="1" applyAlignment="1">
      <alignment horizontal="left" vertical="top" wrapText="1"/>
    </xf>
    <xf numFmtId="0" fontId="6" fillId="9" borderId="67" xfId="0" applyFont="1" applyFill="1" applyBorder="1" applyAlignment="1">
      <alignment horizontal="center" vertical="center" wrapText="1"/>
    </xf>
    <xf numFmtId="0" fontId="6" fillId="2" borderId="67" xfId="0" applyFont="1" applyFill="1" applyBorder="1" applyAlignment="1">
      <alignment horizontal="center" vertical="top" wrapText="1"/>
    </xf>
    <xf numFmtId="0" fontId="12" fillId="2" borderId="0" xfId="0" applyFont="1" applyFill="1" applyAlignment="1">
      <alignment vertical="center"/>
    </xf>
    <xf numFmtId="172" fontId="6" fillId="2" borderId="67" xfId="0" applyNumberFormat="1" applyFont="1" applyFill="1" applyBorder="1" applyAlignment="1">
      <alignment horizontal="center" vertical="center"/>
    </xf>
    <xf numFmtId="0" fontId="4" fillId="2" borderId="90" xfId="0" applyFont="1" applyFill="1" applyBorder="1" applyAlignment="1">
      <alignment horizontal="center" vertical="center"/>
    </xf>
    <xf numFmtId="173" fontId="4" fillId="2" borderId="55" xfId="0" applyNumberFormat="1" applyFont="1" applyFill="1" applyBorder="1" applyAlignment="1">
      <alignment vertical="center"/>
    </xf>
    <xf numFmtId="172" fontId="6" fillId="2" borderId="85" xfId="0" applyNumberFormat="1" applyFont="1" applyFill="1" applyBorder="1" applyAlignment="1">
      <alignment vertical="center"/>
    </xf>
    <xf numFmtId="0" fontId="13" fillId="3" borderId="0" xfId="0" applyFont="1" applyFill="1" applyAlignment="1">
      <alignment horizontal="center" vertical="center" wrapText="1"/>
    </xf>
    <xf numFmtId="0" fontId="14" fillId="4" borderId="0" xfId="0" applyFont="1" applyFill="1" applyAlignment="1">
      <alignment horizontal="left" vertical="center" wrapText="1"/>
    </xf>
    <xf numFmtId="0" fontId="15" fillId="5" borderId="0" xfId="0" applyFont="1" applyFill="1" applyAlignment="1">
      <alignment horizontal="center" vertical="center" wrapText="1"/>
    </xf>
    <xf numFmtId="0" fontId="1" fillId="2" borderId="0" xfId="0" applyFont="1" applyFill="1" applyAlignment="1">
      <alignment vertical="center"/>
    </xf>
    <xf numFmtId="0" fontId="4" fillId="7" borderId="62" xfId="0" applyFont="1" applyFill="1" applyBorder="1" applyAlignment="1">
      <alignment horizontal="center" vertical="center" textRotation="255"/>
    </xf>
    <xf numFmtId="0" fontId="6" fillId="7" borderId="58" xfId="0" applyFont="1" applyFill="1" applyBorder="1" applyAlignment="1">
      <alignment vertical="center"/>
    </xf>
    <xf numFmtId="0" fontId="6" fillId="2" borderId="58" xfId="0" applyFont="1" applyFill="1" applyBorder="1" applyAlignment="1">
      <alignment horizontal="center" vertical="center"/>
    </xf>
    <xf numFmtId="0" fontId="6" fillId="7" borderId="58" xfId="0" applyFont="1" applyFill="1" applyBorder="1" applyAlignment="1">
      <alignment horizontal="center" vertical="center"/>
    </xf>
    <xf numFmtId="14" fontId="6" fillId="2" borderId="91" xfId="0" applyNumberFormat="1" applyFont="1" applyFill="1" applyBorder="1" applyAlignment="1">
      <alignment horizontal="center" vertical="center"/>
    </xf>
    <xf numFmtId="0" fontId="6" fillId="2" borderId="63" xfId="0" applyFont="1" applyFill="1" applyBorder="1" applyAlignment="1">
      <alignment horizontal="center" vertical="center"/>
    </xf>
    <xf numFmtId="0" fontId="6" fillId="7" borderId="67" xfId="0" applyFont="1" applyFill="1" applyBorder="1" applyAlignment="1">
      <alignment vertical="center"/>
    </xf>
    <xf numFmtId="0" fontId="6" fillId="2" borderId="88" xfId="0" applyFont="1" applyFill="1" applyBorder="1" applyAlignment="1">
      <alignment horizontal="center" vertical="center"/>
    </xf>
    <xf numFmtId="0" fontId="6" fillId="7" borderId="67" xfId="0" applyFont="1" applyFill="1" applyBorder="1" applyAlignment="1">
      <alignment horizontal="center" vertical="center"/>
    </xf>
    <xf numFmtId="0" fontId="6" fillId="2" borderId="69" xfId="0" applyFont="1" applyFill="1" applyBorder="1" applyAlignment="1">
      <alignment horizontal="center" vertical="center" shrinkToFit="1"/>
    </xf>
    <xf numFmtId="0" fontId="6" fillId="7" borderId="54" xfId="0" applyFont="1" applyFill="1" applyBorder="1" applyAlignment="1">
      <alignment vertical="center"/>
    </xf>
    <xf numFmtId="0" fontId="6" fillId="2" borderId="92" xfId="0" applyFont="1" applyFill="1" applyBorder="1" applyAlignment="1">
      <alignment horizontal="center" vertical="center"/>
    </xf>
    <xf numFmtId="0" fontId="6" fillId="7" borderId="54" xfId="0" applyFont="1" applyFill="1" applyBorder="1" applyAlignment="1">
      <alignment horizontal="center" vertical="center"/>
    </xf>
    <xf numFmtId="0" fontId="6" fillId="2" borderId="84" xfId="0" applyFont="1" applyFill="1" applyBorder="1" applyAlignment="1">
      <alignment horizontal="center" vertical="center"/>
    </xf>
    <xf numFmtId="0" fontId="4" fillId="7" borderId="62" xfId="0" applyFont="1" applyFill="1" applyBorder="1" applyAlignment="1">
      <alignment vertical="center"/>
    </xf>
    <xf numFmtId="0" fontId="4" fillId="7" borderId="89" xfId="0" applyFont="1" applyFill="1" applyBorder="1" applyAlignment="1">
      <alignment vertical="center"/>
    </xf>
    <xf numFmtId="0" fontId="6" fillId="2" borderId="54" xfId="0" applyFont="1" applyFill="1" applyBorder="1" applyAlignment="1">
      <alignment horizontal="center" vertical="center"/>
    </xf>
    <xf numFmtId="0" fontId="4" fillId="7" borderId="67" xfId="0" applyFont="1" applyFill="1" applyBorder="1" applyAlignment="1">
      <alignment horizontal="center" vertical="center"/>
    </xf>
    <xf numFmtId="0" fontId="1" fillId="10" borderId="67" xfId="0" applyFont="1" applyFill="1" applyBorder="1" applyAlignment="1">
      <alignment horizontal="center" vertical="center"/>
    </xf>
    <xf numFmtId="0" fontId="4" fillId="2" borderId="93" xfId="0" applyFont="1" applyFill="1" applyBorder="1" applyAlignment="1">
      <alignment horizontal="center" vertical="center"/>
    </xf>
    <xf numFmtId="0" fontId="4" fillId="2" borderId="72" xfId="0" applyFont="1" applyFill="1" applyBorder="1" applyAlignment="1">
      <alignment horizontal="left" vertical="center"/>
    </xf>
    <xf numFmtId="0" fontId="4" fillId="2" borderId="75" xfId="0" applyFont="1" applyFill="1" applyBorder="1" applyAlignment="1">
      <alignment horizontal="center" vertical="center"/>
    </xf>
    <xf numFmtId="0" fontId="6" fillId="2" borderId="67" xfId="0" applyFont="1" applyFill="1" applyBorder="1" applyAlignment="1">
      <alignment horizontal="left" vertical="center" wrapText="1"/>
    </xf>
    <xf numFmtId="0" fontId="1" fillId="2" borderId="94" xfId="0" applyFont="1" applyFill="1" applyBorder="1"/>
    <xf numFmtId="0" fontId="6" fillId="2" borderId="78" xfId="0" applyFont="1" applyFill="1" applyBorder="1" applyAlignment="1">
      <alignment horizontal="left" vertical="top"/>
    </xf>
    <xf numFmtId="0" fontId="1" fillId="2" borderId="60" xfId="0" applyFont="1" applyFill="1" applyBorder="1"/>
    <xf numFmtId="0" fontId="4" fillId="2" borderId="93" xfId="0" applyFont="1" applyFill="1" applyBorder="1" applyAlignment="1">
      <alignment vertical="center"/>
    </xf>
    <xf numFmtId="0" fontId="4" fillId="2" borderId="79" xfId="0" applyFont="1" applyFill="1" applyBorder="1" applyAlignment="1">
      <alignment horizontal="left" vertical="center"/>
    </xf>
    <xf numFmtId="0" fontId="6" fillId="2" borderId="79" xfId="0" applyFont="1" applyFill="1" applyBorder="1" applyAlignment="1">
      <alignment horizontal="left" vertical="center"/>
    </xf>
    <xf numFmtId="0" fontId="6" fillId="2" borderId="61" xfId="0" applyFont="1" applyFill="1" applyBorder="1" applyAlignment="1">
      <alignment horizontal="left" vertical="center"/>
    </xf>
    <xf numFmtId="0" fontId="4" fillId="2" borderId="78" xfId="0" applyFont="1" applyFill="1" applyBorder="1" applyAlignment="1">
      <alignment horizontal="center" vertical="center"/>
    </xf>
    <xf numFmtId="0" fontId="4" fillId="2" borderId="73" xfId="0" applyFont="1" applyFill="1" applyBorder="1" applyAlignment="1">
      <alignment horizontal="left" vertical="center"/>
    </xf>
    <xf numFmtId="0" fontId="6" fillId="2" borderId="73" xfId="0" applyFont="1" applyFill="1" applyBorder="1" applyAlignment="1">
      <alignment horizontal="center" vertical="center"/>
    </xf>
    <xf numFmtId="0" fontId="6" fillId="2" borderId="68" xfId="0" applyFont="1" applyFill="1" applyBorder="1" applyAlignment="1">
      <alignment vertical="center"/>
    </xf>
    <xf numFmtId="0" fontId="6" fillId="2" borderId="95" xfId="0" applyFont="1" applyFill="1" applyBorder="1" applyAlignment="1">
      <alignment vertical="center"/>
    </xf>
    <xf numFmtId="0" fontId="6" fillId="2" borderId="60" xfId="0" applyFont="1" applyFill="1" applyBorder="1" applyAlignment="1">
      <alignment horizontal="center" vertical="top"/>
    </xf>
    <xf numFmtId="0" fontId="6" fillId="2" borderId="94" xfId="0" applyFont="1" applyFill="1" applyBorder="1" applyAlignment="1">
      <alignment vertical="center"/>
    </xf>
    <xf numFmtId="0" fontId="6" fillId="2" borderId="60" xfId="0" applyFont="1" applyFill="1" applyBorder="1" applyAlignment="1">
      <alignment vertical="center"/>
    </xf>
    <xf numFmtId="0" fontId="6" fillId="2" borderId="78" xfId="0" applyFont="1" applyFill="1" applyBorder="1" applyAlignment="1">
      <alignment vertical="center"/>
    </xf>
    <xf numFmtId="0" fontId="6" fillId="2" borderId="75" xfId="0" applyFont="1" applyFill="1" applyBorder="1" applyAlignment="1">
      <alignment vertical="center"/>
    </xf>
    <xf numFmtId="0" fontId="1" fillId="2" borderId="78" xfId="0" applyFont="1" applyFill="1" applyBorder="1" applyAlignment="1">
      <alignment vertical="center"/>
    </xf>
    <xf numFmtId="0" fontId="4" fillId="2" borderId="75" xfId="0" applyFont="1" applyFill="1" applyBorder="1" applyAlignment="1">
      <alignment vertical="center"/>
    </xf>
    <xf numFmtId="0" fontId="1" fillId="2" borderId="75" xfId="0" applyFont="1" applyFill="1" applyBorder="1" applyAlignment="1">
      <alignment vertical="center"/>
    </xf>
    <xf numFmtId="0" fontId="16" fillId="2" borderId="67" xfId="0" applyFont="1" applyFill="1" applyBorder="1" applyAlignment="1">
      <alignment horizontal="left" vertical="center"/>
    </xf>
    <xf numFmtId="0" fontId="1" fillId="2" borderId="96" xfId="0" applyFont="1" applyFill="1" applyBorder="1" applyAlignment="1">
      <alignment horizontal="center" vertical="center"/>
    </xf>
    <xf numFmtId="0" fontId="6" fillId="2" borderId="67" xfId="0" applyFont="1" applyFill="1" applyBorder="1" applyAlignment="1">
      <alignment horizontal="left" vertical="top" wrapText="1"/>
    </xf>
    <xf numFmtId="0" fontId="6" fillId="2" borderId="69" xfId="0" applyFont="1" applyFill="1" applyBorder="1" applyAlignment="1">
      <alignment horizontal="center" vertical="center"/>
    </xf>
    <xf numFmtId="0" fontId="1" fillId="2" borderId="97" xfId="0" applyFont="1" applyFill="1" applyBorder="1"/>
    <xf numFmtId="0" fontId="1" fillId="2" borderId="90" xfId="0" applyFont="1" applyFill="1" applyBorder="1" applyAlignment="1">
      <alignment horizontal="center" vertical="center"/>
    </xf>
    <xf numFmtId="0" fontId="6" fillId="2" borderId="55" xfId="0" applyFont="1" applyFill="1" applyBorder="1" applyAlignment="1">
      <alignment vertical="center"/>
    </xf>
    <xf numFmtId="0" fontId="1" fillId="2" borderId="98" xfId="0" applyFont="1" applyFill="1" applyBorder="1"/>
    <xf numFmtId="0" fontId="6" fillId="2" borderId="99" xfId="0" applyFont="1" applyFill="1" applyBorder="1" applyAlignment="1">
      <alignment horizontal="center" vertical="center"/>
    </xf>
    <xf numFmtId="0" fontId="1" fillId="2" borderId="100" xfId="0" applyFont="1" applyFill="1" applyBorder="1"/>
    <xf numFmtId="0" fontId="1" fillId="2" borderId="99" xfId="0" applyFont="1" applyFill="1" applyBorder="1"/>
    <xf numFmtId="0" fontId="6" fillId="2" borderId="101" xfId="0" applyFont="1" applyFill="1" applyBorder="1" applyAlignment="1">
      <alignment horizontal="left" vertical="top" wrapText="1"/>
    </xf>
    <xf numFmtId="0" fontId="1" fillId="2" borderId="102" xfId="0" applyFont="1" applyFill="1" applyBorder="1"/>
    <xf numFmtId="0" fontId="1" fillId="2" borderId="103" xfId="0" applyFont="1" applyFill="1" applyBorder="1"/>
    <xf numFmtId="0" fontId="1" fillId="2" borderId="104" xfId="0" applyFont="1" applyFill="1" applyBorder="1"/>
    <xf numFmtId="0" fontId="1" fillId="2" borderId="105" xfId="0" applyFont="1" applyFill="1" applyBorder="1"/>
    <xf numFmtId="0" fontId="17" fillId="2" borderId="0" xfId="0" applyFont="1" applyFill="1" applyAlignment="1">
      <alignment horizontal="center" vertical="center"/>
    </xf>
    <xf numFmtId="0" fontId="18" fillId="2" borderId="0" xfId="0" applyFont="1" applyFill="1" applyAlignment="1">
      <alignment vertical="center"/>
    </xf>
    <xf numFmtId="0" fontId="19" fillId="2" borderId="0" xfId="0" applyFont="1" applyFill="1" applyAlignment="1">
      <alignment vertical="center"/>
    </xf>
    <xf numFmtId="0" fontId="20" fillId="2" borderId="0" xfId="0" applyFont="1" applyFill="1" applyAlignment="1">
      <alignment vertical="center"/>
    </xf>
    <xf numFmtId="0" fontId="18" fillId="2" borderId="0" xfId="0" applyFont="1" applyFill="1" applyAlignment="1">
      <alignment horizontal="left" vertical="center" wrapText="1"/>
    </xf>
    <xf numFmtId="0" fontId="21" fillId="2" borderId="0" xfId="0" applyFont="1" applyFill="1" applyAlignment="1">
      <alignment horizontal="right" vertical="center"/>
    </xf>
    <xf numFmtId="0" fontId="21" fillId="2" borderId="0" xfId="0" applyFont="1" applyFill="1" applyAlignment="1">
      <alignment horizontal="left" vertical="center"/>
    </xf>
    <xf numFmtId="0" fontId="19" fillId="2" borderId="0" xfId="0" applyFont="1" applyFill="1" applyAlignment="1">
      <alignment horizontal="right" vertical="center"/>
    </xf>
    <xf numFmtId="0" fontId="19" fillId="2" borderId="0" xfId="0" applyFont="1" applyFill="1" applyAlignment="1">
      <alignment horizontal="center" vertical="center"/>
    </xf>
    <xf numFmtId="0" fontId="19" fillId="2" borderId="0" xfId="0" applyFont="1" applyFill="1" applyAlignment="1">
      <alignment horizontal="left" vertical="center"/>
    </xf>
    <xf numFmtId="0" fontId="18" fillId="2" borderId="0" xfId="0" applyFont="1" applyFill="1" applyAlignment="1">
      <alignment horizontal="left" vertical="center"/>
    </xf>
    <xf numFmtId="0" fontId="18" fillId="2" borderId="67" xfId="0" applyFont="1" applyFill="1" applyBorder="1" applyAlignment="1">
      <alignment horizontal="center" vertical="center"/>
    </xf>
    <xf numFmtId="0" fontId="18" fillId="2" borderId="67" xfId="0" applyFont="1" applyFill="1" applyBorder="1" applyAlignment="1">
      <alignment horizontal="left" vertical="center"/>
    </xf>
    <xf numFmtId="0" fontId="18" fillId="2" borderId="67" xfId="0" applyFont="1" applyFill="1" applyBorder="1" applyAlignment="1">
      <alignment horizontal="center" vertical="center" wrapText="1"/>
    </xf>
    <xf numFmtId="0" fontId="18" fillId="2" borderId="106" xfId="0" applyFont="1" applyFill="1" applyBorder="1" applyAlignment="1">
      <alignment horizontal="center" vertical="center"/>
    </xf>
    <xf numFmtId="0" fontId="1" fillId="2" borderId="107" xfId="0" applyFont="1" applyFill="1" applyBorder="1"/>
    <xf numFmtId="0" fontId="1" fillId="2" borderId="108" xfId="0" applyFont="1" applyFill="1" applyBorder="1"/>
    <xf numFmtId="0" fontId="18" fillId="2" borderId="60" xfId="0" applyFont="1" applyFill="1" applyBorder="1" applyAlignment="1">
      <alignment horizontal="left" vertical="center" wrapText="1"/>
    </xf>
    <xf numFmtId="0" fontId="18" fillId="2" borderId="0" xfId="0" applyFont="1" applyFill="1" applyAlignment="1">
      <alignment horizontal="center" vertical="center"/>
    </xf>
    <xf numFmtId="0" fontId="18" fillId="2" borderId="67"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0" xfId="0" applyFont="1" applyFill="1" applyAlignment="1">
      <alignment horizontal="center" vertical="center"/>
    </xf>
    <xf numFmtId="0" fontId="23" fillId="2" borderId="0" xfId="0" applyFont="1" applyFill="1" applyAlignment="1">
      <alignment vertical="center"/>
    </xf>
    <xf numFmtId="0" fontId="24" fillId="11" borderId="0" xfId="0" applyFont="1" applyFill="1" applyAlignment="1">
      <alignment horizontal="center" vertical="center" wrapText="1"/>
    </xf>
    <xf numFmtId="0" fontId="14" fillId="2" borderId="0" xfId="0" applyFont="1" applyFill="1" applyAlignment="1">
      <alignment horizontal="left" vertical="center" wrapText="1"/>
    </xf>
    <xf numFmtId="0" fontId="14" fillId="2" borderId="0" xfId="0" applyFont="1" applyFill="1" applyAlignment="1">
      <alignment vertical="center" wrapText="1"/>
    </xf>
    <xf numFmtId="0" fontId="3" fillId="2" borderId="0" xfId="0" applyFont="1" applyFill="1" applyAlignment="1">
      <alignment horizontal="justify" vertical="center"/>
    </xf>
    <xf numFmtId="0" fontId="25" fillId="5" borderId="1" xfId="0" applyFont="1" applyFill="1" applyBorder="1" applyAlignment="1">
      <alignment horizontal="center" vertical="center" wrapText="1"/>
    </xf>
    <xf numFmtId="0" fontId="26" fillId="2" borderId="0" xfId="0" applyFont="1" applyFill="1" applyAlignment="1">
      <alignment horizontal="justify" vertical="center" wrapText="1"/>
    </xf>
    <xf numFmtId="0" fontId="4" fillId="5" borderId="43" xfId="0" applyFont="1" applyFill="1" applyBorder="1" applyAlignment="1">
      <alignment horizontal="distributed" vertical="center" wrapText="1"/>
    </xf>
    <xf numFmtId="0" fontId="20" fillId="2" borderId="109" xfId="0" applyFont="1" applyFill="1" applyBorder="1" applyAlignment="1">
      <alignment horizontal="center" vertical="center" wrapText="1"/>
    </xf>
    <xf numFmtId="0" fontId="1" fillId="2" borderId="110" xfId="0" applyFont="1" applyFill="1" applyBorder="1"/>
    <xf numFmtId="0" fontId="4" fillId="5" borderId="109" xfId="0" applyFont="1" applyFill="1" applyBorder="1" applyAlignment="1">
      <alignment horizontal="distributed" vertical="center" wrapText="1"/>
    </xf>
    <xf numFmtId="0" fontId="20" fillId="2" borderId="111" xfId="0" applyFont="1" applyFill="1" applyBorder="1" applyAlignment="1">
      <alignment horizontal="justify" vertical="center" wrapText="1"/>
    </xf>
    <xf numFmtId="0" fontId="27" fillId="2" borderId="0" xfId="0" applyFont="1" applyFill="1" applyAlignment="1">
      <alignment horizontal="justify" vertical="center" wrapText="1"/>
    </xf>
    <xf numFmtId="0" fontId="4" fillId="5" borderId="112" xfId="0" applyFont="1" applyFill="1" applyBorder="1" applyAlignment="1">
      <alignment horizontal="distributed" vertical="center" wrapText="1"/>
    </xf>
    <xf numFmtId="0" fontId="6" fillId="2" borderId="44" xfId="0" applyFont="1" applyFill="1" applyBorder="1" applyAlignment="1">
      <alignment horizontal="center" vertical="center" wrapText="1"/>
    </xf>
    <xf numFmtId="0" fontId="4" fillId="5" borderId="44" xfId="0" applyFont="1" applyFill="1" applyBorder="1" applyAlignment="1">
      <alignment horizontal="distributed" vertical="center" wrapText="1"/>
    </xf>
    <xf numFmtId="0" fontId="6" fillId="2" borderId="113" xfId="0" applyFont="1" applyFill="1" applyBorder="1" applyAlignment="1">
      <alignment horizontal="center" vertical="center" wrapText="1"/>
    </xf>
    <xf numFmtId="0" fontId="4" fillId="5" borderId="114" xfId="0" applyFont="1" applyFill="1" applyBorder="1" applyAlignment="1">
      <alignment horizontal="distributed" vertical="center" wrapText="1"/>
    </xf>
    <xf numFmtId="0" fontId="4" fillId="5" borderId="9" xfId="0" applyFont="1" applyFill="1" applyBorder="1" applyAlignment="1">
      <alignment horizontal="distributed" vertical="center" wrapText="1"/>
    </xf>
    <xf numFmtId="0" fontId="6" fillId="2" borderId="47" xfId="0" applyFont="1" applyFill="1" applyBorder="1" applyAlignment="1">
      <alignment horizontal="center" vertical="center" wrapText="1"/>
    </xf>
    <xf numFmtId="0" fontId="4" fillId="5" borderId="114" xfId="0" applyFont="1" applyFill="1" applyBorder="1" applyAlignment="1">
      <alignment horizontal="justify" vertical="center" wrapText="1"/>
    </xf>
    <xf numFmtId="0" fontId="4" fillId="2" borderId="47" xfId="0" applyFont="1" applyFill="1" applyBorder="1" applyAlignment="1">
      <alignment horizontal="justify" vertical="center" wrapText="1"/>
    </xf>
    <xf numFmtId="0" fontId="4" fillId="5" borderId="115" xfId="0" applyFont="1" applyFill="1" applyBorder="1" applyAlignment="1">
      <alignment horizontal="center" vertical="center" wrapText="1"/>
    </xf>
    <xf numFmtId="0" fontId="6" fillId="2" borderId="47" xfId="0" applyFont="1" applyFill="1" applyBorder="1" applyAlignment="1">
      <alignment horizontal="justify" vertical="center" wrapText="1"/>
    </xf>
    <xf numFmtId="0" fontId="4" fillId="5" borderId="116" xfId="0" applyFont="1" applyFill="1" applyBorder="1" applyAlignment="1">
      <alignment horizontal="justify" vertical="center" wrapText="1"/>
    </xf>
    <xf numFmtId="0" fontId="6" fillId="2" borderId="117" xfId="0" applyFont="1" applyFill="1" applyBorder="1" applyAlignment="1">
      <alignment horizontal="justify" vertical="center" wrapText="1"/>
    </xf>
    <xf numFmtId="0" fontId="1" fillId="2" borderId="118" xfId="0" applyFont="1" applyFill="1" applyBorder="1"/>
    <xf numFmtId="0" fontId="4" fillId="2" borderId="119" xfId="0" applyFont="1" applyFill="1" applyBorder="1" applyAlignment="1">
      <alignment horizontal="justify" vertical="center" wrapText="1"/>
    </xf>
    <xf numFmtId="166" fontId="6" fillId="2" borderId="1" xfId="0" applyNumberFormat="1" applyFont="1" applyFill="1" applyBorder="1" applyAlignment="1">
      <alignment horizontal="center" vertical="center" wrapText="1"/>
    </xf>
    <xf numFmtId="0" fontId="6" fillId="2" borderId="77" xfId="0" applyFont="1" applyFill="1" applyBorder="1" applyAlignment="1">
      <alignment horizontal="left" vertical="center" wrapText="1"/>
    </xf>
    <xf numFmtId="0" fontId="6" fillId="2" borderId="1" xfId="0" applyFont="1" applyFill="1" applyBorder="1" applyAlignment="1">
      <alignment vertical="center" wrapText="1"/>
    </xf>
    <xf numFmtId="0" fontId="6" fillId="2" borderId="119" xfId="0" applyFont="1" applyFill="1" applyBorder="1" applyAlignment="1">
      <alignment horizontal="left" vertical="top" wrapText="1"/>
    </xf>
    <xf numFmtId="0" fontId="6" fillId="2" borderId="119" xfId="0" applyFont="1" applyFill="1" applyBorder="1" applyAlignment="1">
      <alignment horizontal="justify" vertical="center" wrapText="1"/>
    </xf>
    <xf numFmtId="0" fontId="4" fillId="5" borderId="120" xfId="0" applyFont="1" applyFill="1" applyBorder="1" applyAlignment="1">
      <alignment horizontal="justify" vertical="center" wrapText="1"/>
    </xf>
    <xf numFmtId="0" fontId="6" fillId="2" borderId="121" xfId="0" applyFont="1" applyFill="1" applyBorder="1" applyAlignment="1">
      <alignment horizontal="justify" vertical="center" wrapText="1"/>
    </xf>
    <xf numFmtId="0" fontId="6" fillId="2" borderId="0" xfId="0" applyFont="1" applyFill="1" applyAlignment="1">
      <alignment horizontal="justify" vertical="center"/>
    </xf>
    <xf numFmtId="0" fontId="28" fillId="2" borderId="0" xfId="0" applyFont="1" applyFill="1" applyAlignment="1">
      <alignment horizontal="center" vertical="center"/>
    </xf>
    <xf numFmtId="0" fontId="29" fillId="12" borderId="9" xfId="0" applyFont="1" applyFill="1" applyBorder="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0" fontId="1" fillId="9" borderId="67" xfId="0" applyFont="1" applyFill="1" applyBorder="1" applyAlignment="1">
      <alignment vertical="center"/>
    </xf>
    <xf numFmtId="0" fontId="30" fillId="2" borderId="79" xfId="0" applyFont="1" applyFill="1" applyBorder="1" applyAlignment="1">
      <alignment vertical="center"/>
    </xf>
    <xf numFmtId="0" fontId="1" fillId="2" borderId="79" xfId="0" applyFont="1" applyFill="1" applyBorder="1" applyAlignment="1">
      <alignment vertical="center"/>
    </xf>
    <xf numFmtId="0" fontId="4" fillId="2" borderId="67" xfId="0" applyFont="1" applyFill="1" applyBorder="1" applyAlignment="1">
      <alignment horizontal="center" vertical="center"/>
    </xf>
    <xf numFmtId="0" fontId="1" fillId="2" borderId="67" xfId="0" applyFont="1" applyFill="1" applyBorder="1" applyAlignment="1">
      <alignment vertical="center"/>
    </xf>
    <xf numFmtId="174" fontId="4" fillId="2" borderId="67" xfId="0" applyNumberFormat="1" applyFont="1" applyFill="1" applyBorder="1" applyAlignment="1">
      <alignment horizontal="center" vertical="center"/>
    </xf>
    <xf numFmtId="0" fontId="6" fillId="13" borderId="67" xfId="0" applyFont="1" applyFill="1" applyBorder="1" applyAlignment="1">
      <alignment horizontal="center" vertical="center"/>
    </xf>
    <xf numFmtId="0" fontId="6" fillId="2" borderId="67" xfId="0" applyFont="1" applyFill="1" applyBorder="1" applyAlignment="1">
      <alignment horizontal="center"/>
    </xf>
    <xf numFmtId="174" fontId="6" fillId="2" borderId="67" xfId="0" applyNumberFormat="1" applyFont="1" applyFill="1" applyBorder="1"/>
    <xf numFmtId="167" fontId="6" fillId="2" borderId="68" xfId="0" applyNumberFormat="1" applyFont="1" applyFill="1" applyBorder="1" applyAlignment="1">
      <alignment vertical="center"/>
    </xf>
    <xf numFmtId="167" fontId="6" fillId="2" borderId="0" xfId="0" applyNumberFormat="1" applyFont="1" applyFill="1" applyAlignment="1">
      <alignment vertical="center"/>
    </xf>
    <xf numFmtId="0" fontId="1" fillId="2" borderId="122" xfId="0" applyFont="1" applyFill="1" applyBorder="1" applyAlignment="1">
      <alignment horizontal="center" vertical="center" wrapText="1"/>
    </xf>
  </cellXfs>
  <cellStyles count="1">
    <cellStyle name="Normal" xfId="0" builtinId="0"/>
  </cellStyles>
  <dxfs count="10">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color rgb="FFFFFF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31"/>
  <sheetViews>
    <sheetView workbookViewId="0" showGridLines="0" zoomScale="100" zoomScaleNormal="100">
      <selection activeCell="C15" sqref="C15"/>
    </sheetView>
  </sheetViews>
  <sheetFormatPr defaultRowHeight="16.5" outlineLevelRow="0" outlineLevelCol="0" x14ac:dyDescent="0" defaultColWidth="9" customHeight="1"/>
  <cols>
    <col min="1" max="1" width="3.625" style="1" customWidth="1"/>
    <col min="2" max="2" width="9" style="1" customWidth="1"/>
    <col min="3" max="3" width="4" style="1" customWidth="1"/>
    <col min="4" max="4" width="10.625" style="1" customWidth="1"/>
    <col min="5" max="5" width="15.625" style="1" customWidth="1"/>
    <col min="6" max="6" width="9" style="1" customWidth="1"/>
    <col min="7" max="7" width="7.625" style="1" customWidth="1"/>
    <col min="8" max="8" width="9.125" style="1" customWidth="1"/>
    <col min="9" max="9" width="13.625" style="1" customWidth="1"/>
  </cols>
  <sheetData>
    <row r="1" ht="20.25" customHeight="1" spans="1:5" s="1" customFormat="1" x14ac:dyDescent="0.25">
      <c r="A1" s="2" t="s">
        <v>0</v>
      </c>
      <c r="B1" s="1"/>
      <c r="C1" s="3" t="s">
        <v>1</v>
      </c>
      <c r="D1" s="1"/>
      <c r="E1" s="1"/>
    </row>
    <row r="2" ht="12.75" customHeight="1" spans="1:1" s="1" customFormat="1" x14ac:dyDescent="0.25">
      <c r="A2" s="4"/>
    </row>
    <row r="3" ht="32.25" customHeight="1" spans="1:9" s="1" customFormat="1" x14ac:dyDescent="0.25">
      <c r="A3" s="5" t="s">
        <v>2</v>
      </c>
      <c r="B3" s="1"/>
      <c r="C3" s="1"/>
      <c r="D3" s="1"/>
      <c r="E3" s="1"/>
      <c r="F3" s="1"/>
      <c r="G3" s="1"/>
      <c r="H3" s="1"/>
      <c r="I3" s="1"/>
    </row>
    <row r="4" ht="12.75" customHeight="1" spans="1:1" s="1" customFormat="1" x14ac:dyDescent="0.25">
      <c r="A4" s="4"/>
    </row>
    <row r="5" ht="16.5" customHeight="1" spans="1:4" s="1" customFormat="1" x14ac:dyDescent="0.25">
      <c r="A5" s="6" t="s">
        <v>3</v>
      </c>
      <c r="B5" s="7"/>
      <c r="C5" s="8">
        <f>온라인신청사항!D2</f>
      </c>
      <c r="D5" s="7"/>
    </row>
    <row r="6" ht="20.1" customHeight="1" spans="1:9" s="1" customFormat="1" x14ac:dyDescent="0.25">
      <c r="A6" s="9" t="s">
        <v>4</v>
      </c>
      <c r="B6" s="10" t="s">
        <v>5</v>
      </c>
      <c r="C6" s="11"/>
      <c r="D6" s="12">
        <f>온라인신청사항!H2</f>
      </c>
      <c r="E6" s="11"/>
      <c r="F6" s="10" t="s">
        <v>6</v>
      </c>
      <c r="G6" s="11"/>
      <c r="H6" s="13">
        <f>DATEDIF(I6,DATE(2025,1,1),"Y")</f>
      </c>
      <c r="I6" s="14">
        <f>온라인신청사항!I2</f>
      </c>
    </row>
    <row r="7" ht="27.75" customHeight="1" spans="1:9" s="1" customFormat="1" x14ac:dyDescent="0.25">
      <c r="A7" s="15"/>
      <c r="B7" s="16" t="s">
        <v>7</v>
      </c>
      <c r="C7" s="17"/>
      <c r="D7" s="18">
        <f>온라인신청사항!O2</f>
      </c>
      <c r="E7" s="17"/>
      <c r="F7" s="16" t="s">
        <v>8</v>
      </c>
      <c r="G7" s="17"/>
      <c r="H7" s="19">
        <f>온라인신청사항!T2</f>
      </c>
      <c r="I7" s="20"/>
    </row>
    <row r="8" ht="20.1" customHeight="1" spans="1:9" s="1" customFormat="1" x14ac:dyDescent="0.25">
      <c r="A8" s="15"/>
      <c r="B8" s="16" t="s">
        <v>9</v>
      </c>
      <c r="C8" s="21"/>
      <c r="D8" s="18">
        <f>온라인신청사항!M2</f>
      </c>
      <c r="E8" s="21"/>
      <c r="F8" s="16" t="s">
        <v>10</v>
      </c>
      <c r="G8" s="21"/>
      <c r="H8" s="22">
        <f>온라인신청사항!L2</f>
      </c>
      <c r="I8" s="20"/>
    </row>
    <row r="9" ht="20.1" customHeight="1" spans="1:9" s="1" customFormat="1" x14ac:dyDescent="0.25">
      <c r="A9" s="15"/>
      <c r="B9" s="23"/>
      <c r="C9" s="24"/>
      <c r="D9" s="23"/>
      <c r="E9" s="24"/>
      <c r="F9" s="23"/>
      <c r="G9" s="24"/>
      <c r="H9" s="22">
        <f>온라인신청사항!K2</f>
      </c>
      <c r="I9" s="20"/>
    </row>
    <row r="10" ht="20.1" customHeight="1" spans="1:9" s="1" customFormat="1" x14ac:dyDescent="0.25">
      <c r="A10" s="15"/>
      <c r="B10" s="16" t="s">
        <v>11</v>
      </c>
      <c r="C10" s="17"/>
      <c r="D10" s="25">
        <f>온라인신청사항!Q2&amp;", "&amp;온라인신청사항!R2</f>
      </c>
      <c r="E10" s="26"/>
      <c r="F10" s="26"/>
      <c r="G10" s="26"/>
      <c r="H10" s="26"/>
      <c r="I10" s="20"/>
    </row>
    <row r="11" ht="20.1" customHeight="1" spans="1:9" s="1" customFormat="1" x14ac:dyDescent="0.25">
      <c r="A11" s="15"/>
      <c r="B11" s="16" t="s">
        <v>12</v>
      </c>
      <c r="C11" s="17"/>
      <c r="D11" s="27">
        <f>온라인신청사항!N2</f>
      </c>
      <c r="E11" s="17"/>
      <c r="F11" s="16" t="s">
        <v>13</v>
      </c>
      <c r="G11" s="17"/>
      <c r="H11" s="28">
        <f>온라인신청사항!J2</f>
      </c>
      <c r="I11" s="20"/>
    </row>
    <row r="12" ht="20.1" customHeight="1" spans="1:9" s="1" customFormat="1" x14ac:dyDescent="0.25">
      <c r="A12" s="29"/>
      <c r="B12" s="16" t="s">
        <v>14</v>
      </c>
      <c r="C12" s="17"/>
      <c r="D12" s="30">
        <f>온라인신청사항!Y2</f>
      </c>
      <c r="E12" s="17"/>
      <c r="F12" s="16" t="s">
        <v>15</v>
      </c>
      <c r="G12" s="17"/>
      <c r="H12" s="28">
        <f>온라인신청사항!X2</f>
      </c>
      <c r="I12" s="20"/>
    </row>
    <row r="13" ht="20.1" customHeight="1" spans="1:9" s="1" customFormat="1" x14ac:dyDescent="0.25">
      <c r="A13" s="31" t="s">
        <v>16</v>
      </c>
      <c r="B13" s="26"/>
      <c r="C13" s="26"/>
      <c r="D13" s="26"/>
      <c r="E13" s="26"/>
      <c r="F13" s="26"/>
      <c r="G13" s="26"/>
      <c r="H13" s="26"/>
      <c r="I13" s="20"/>
    </row>
    <row r="14" ht="20.1" customHeight="1" spans="1:9" s="1" customFormat="1" x14ac:dyDescent="0.25">
      <c r="A14" s="32" t="s">
        <v>17</v>
      </c>
      <c r="B14" s="17"/>
      <c r="C14" s="33">
        <f>온라인신청사항!Z2</f>
      </c>
      <c r="D14" s="26"/>
      <c r="E14" s="26"/>
      <c r="F14" s="26"/>
      <c r="G14" s="26"/>
      <c r="H14" s="26"/>
      <c r="I14" s="20"/>
    </row>
    <row r="15" ht="65.25" customHeight="1" spans="1:9" s="1" customFormat="1" x14ac:dyDescent="0.25">
      <c r="A15" s="32" t="s">
        <v>18</v>
      </c>
      <c r="B15" s="21"/>
      <c r="C15" s="33" t="s">
        <v>19</v>
      </c>
      <c r="D15" s="34"/>
      <c r="E15" s="34"/>
      <c r="F15" s="34"/>
      <c r="G15" s="34"/>
      <c r="H15" s="34"/>
      <c r="I15" s="35"/>
    </row>
    <row r="16" ht="105" customHeight="1" spans="1:9" s="1" customFormat="1" x14ac:dyDescent="0.25">
      <c r="A16" s="36"/>
      <c r="B16" s="37"/>
      <c r="C16" s="38"/>
      <c r="D16" s="1"/>
      <c r="E16" s="1"/>
      <c r="F16" s="1"/>
      <c r="G16" s="1"/>
      <c r="H16" s="1"/>
      <c r="I16" s="39"/>
    </row>
    <row r="17" spans="1:9" x14ac:dyDescent="0.25">
      <c r="A17" s="36"/>
      <c r="B17" s="37"/>
      <c r="C17" s="38"/>
      <c r="D17" s="1"/>
      <c r="E17" s="1"/>
      <c r="F17" s="1"/>
      <c r="G17" s="1"/>
      <c r="H17" s="1"/>
      <c r="I17" s="39"/>
    </row>
    <row r="18" spans="1:9" x14ac:dyDescent="0.25">
      <c r="A18" s="40"/>
      <c r="B18" s="24"/>
      <c r="C18" s="23"/>
      <c r="D18" s="41"/>
      <c r="E18" s="41"/>
      <c r="F18" s="41"/>
      <c r="G18" s="41"/>
      <c r="H18" s="41"/>
      <c r="I18" s="42"/>
    </row>
    <row r="19" ht="15.95" customHeight="1" spans="1:9" s="1" customFormat="1" x14ac:dyDescent="0.25">
      <c r="A19" s="43" t="s">
        <v>20</v>
      </c>
      <c r="B19" s="34"/>
      <c r="C19" s="34"/>
      <c r="D19" s="34"/>
      <c r="E19" s="34"/>
      <c r="F19" s="34"/>
      <c r="G19" s="34"/>
      <c r="H19" s="34"/>
      <c r="I19" s="35"/>
    </row>
    <row r="20" ht="6.75" customHeight="1" spans="1:9" s="1" customFormat="1" x14ac:dyDescent="0.25">
      <c r="A20" s="44"/>
      <c r="B20" s="1"/>
      <c r="C20" s="1"/>
      <c r="D20" s="1"/>
      <c r="E20" s="1"/>
      <c r="F20" s="1"/>
      <c r="G20" s="1"/>
      <c r="H20" s="1"/>
      <c r="I20" s="39"/>
    </row>
    <row r="21" ht="15.95" customHeight="1" spans="1:9" s="1" customFormat="1" x14ac:dyDescent="0.25">
      <c r="A21" s="45">
        <f>온라인신청사항!V2</f>
      </c>
      <c r="B21" s="1"/>
      <c r="C21" s="1"/>
      <c r="D21" s="1"/>
      <c r="E21" s="1"/>
      <c r="F21" s="1"/>
      <c r="G21" s="1"/>
      <c r="H21" s="1"/>
      <c r="I21" s="39"/>
    </row>
    <row r="22" ht="5.25" customHeight="1" spans="1:9" s="1" customFormat="1" x14ac:dyDescent="0.25">
      <c r="A22" s="44"/>
      <c r="B22" s="1"/>
      <c r="C22" s="1"/>
      <c r="D22" s="1"/>
      <c r="E22" s="1"/>
      <c r="F22" s="1"/>
      <c r="G22" s="1"/>
      <c r="H22" s="1"/>
      <c r="I22" s="39"/>
    </row>
    <row r="23" ht="6.75" customHeight="1" spans="1:9" s="1" customFormat="1" x14ac:dyDescent="0.25">
      <c r="A23" s="44"/>
      <c r="B23" s="1"/>
      <c r="C23" s="1"/>
      <c r="D23" s="1"/>
      <c r="E23" s="1"/>
      <c r="F23" s="1"/>
      <c r="G23" s="1"/>
      <c r="H23" s="1"/>
      <c r="I23" s="39"/>
    </row>
    <row r="24" ht="15.95" customHeight="1" spans="1:9" s="1" customFormat="1" x14ac:dyDescent="0.25">
      <c r="A24" s="46" t="s">
        <v>21</v>
      </c>
      <c r="B24" s="41"/>
      <c r="C24" s="41"/>
      <c r="D24" s="41"/>
      <c r="E24" s="41"/>
      <c r="F24" s="41"/>
      <c r="G24" s="47">
        <f>온라인신청사항!H2</f>
      </c>
      <c r="H24" s="41"/>
      <c r="I24" s="48" t="s">
        <v>22</v>
      </c>
    </row>
    <row r="25" ht="22.5" customHeight="1" spans="1:9" s="1" customFormat="1" x14ac:dyDescent="0.25">
      <c r="A25" s="49" t="s">
        <v>23</v>
      </c>
      <c r="B25" s="26"/>
      <c r="C25" s="26"/>
      <c r="D25" s="26"/>
      <c r="E25" s="26"/>
      <c r="F25" s="26"/>
      <c r="G25" s="26"/>
      <c r="H25" s="26"/>
      <c r="I25" s="20"/>
    </row>
    <row r="26" ht="16.5" customHeight="1" spans="1:9" s="1" customFormat="1" x14ac:dyDescent="0.25">
      <c r="A26" s="50" t="s">
        <v>24</v>
      </c>
      <c r="B26" s="34"/>
      <c r="C26" s="34"/>
      <c r="D26" s="34"/>
      <c r="E26" s="34"/>
      <c r="F26" s="34"/>
      <c r="G26" s="34"/>
      <c r="H26" s="34"/>
      <c r="I26" s="35"/>
    </row>
    <row r="27" ht="16.5" customHeight="1" spans="1:9" s="1" customFormat="1" x14ac:dyDescent="0.25">
      <c r="A27" s="51" t="s">
        <v>25</v>
      </c>
      <c r="B27" s="7"/>
      <c r="C27" s="7"/>
      <c r="D27" s="7"/>
      <c r="E27" s="7"/>
      <c r="F27" s="7"/>
      <c r="G27" s="7"/>
      <c r="H27" s="7"/>
      <c r="I27" s="52"/>
    </row>
    <row r="28" ht="19.5" customHeight="1" spans="1:9" s="1" customFormat="1" x14ac:dyDescent="0.25">
      <c r="A28" s="53"/>
      <c r="B28" s="54"/>
      <c r="C28" s="54"/>
      <c r="D28" s="54"/>
      <c r="E28" s="54"/>
      <c r="F28" s="54"/>
      <c r="G28" s="54"/>
      <c r="H28" s="54"/>
      <c r="I28" s="54"/>
    </row>
    <row r="29" ht="20.1" customHeight="1" spans="1:9" s="1" customFormat="1" x14ac:dyDescent="0.25">
      <c r="A29" s="55" t="s">
        <v>26</v>
      </c>
      <c r="B29" s="56"/>
      <c r="C29" s="57" t="s">
        <v>27</v>
      </c>
      <c r="D29" s="11"/>
      <c r="E29" s="58">
        <f>온라인신청사항!F2</f>
      </c>
      <c r="F29" s="11"/>
      <c r="G29" s="57" t="s">
        <v>28</v>
      </c>
      <c r="H29" s="11"/>
      <c r="I29" s="59">
        <f>온라인신청사항!G2</f>
      </c>
    </row>
    <row r="30" ht="20.1" customHeight="1" spans="1:9" s="1" customFormat="1" x14ac:dyDescent="0.25">
      <c r="A30" s="36"/>
      <c r="B30" s="37"/>
      <c r="C30" s="60" t="s">
        <v>9</v>
      </c>
      <c r="D30" s="17"/>
      <c r="E30" s="61"/>
      <c r="F30" s="17"/>
      <c r="G30" s="60" t="s">
        <v>29</v>
      </c>
      <c r="H30" s="17"/>
      <c r="I30" s="19"/>
    </row>
    <row r="31" ht="20.1" customHeight="1" spans="1:9" s="1" customFormat="1" x14ac:dyDescent="0.25">
      <c r="A31" s="62"/>
      <c r="B31" s="63"/>
      <c r="C31" s="64"/>
      <c r="D31" s="65"/>
      <c r="E31" s="66"/>
      <c r="F31" s="67"/>
      <c r="G31" s="67"/>
      <c r="H31" s="67"/>
      <c r="I31" s="68"/>
    </row>
  </sheetData>
  <mergeCells count="53">
    <mergeCell ref="A1:B1"/>
    <mergeCell ref="C1:E1"/>
    <mergeCell ref="A3:I3"/>
    <mergeCell ref="A5:B5"/>
    <mergeCell ref="C5:D5"/>
    <mergeCell ref="B6:C6"/>
    <mergeCell ref="D6:E6"/>
    <mergeCell ref="F6:G6"/>
    <mergeCell ref="A6:A12"/>
    <mergeCell ref="B7:C7"/>
    <mergeCell ref="D7:E7"/>
    <mergeCell ref="F7:G7"/>
    <mergeCell ref="H7:I7"/>
    <mergeCell ref="B8:C9"/>
    <mergeCell ref="D8:E9"/>
    <mergeCell ref="F8:G9"/>
    <mergeCell ref="H8:I8"/>
    <mergeCell ref="H9:I9"/>
    <mergeCell ref="B10:C10"/>
    <mergeCell ref="D10:I10"/>
    <mergeCell ref="B11:C11"/>
    <mergeCell ref="D11:E11"/>
    <mergeCell ref="F11:G11"/>
    <mergeCell ref="H11:I11"/>
    <mergeCell ref="B12:C12"/>
    <mergeCell ref="D12:E12"/>
    <mergeCell ref="F12:G12"/>
    <mergeCell ref="H12:I12"/>
    <mergeCell ref="A13:I13"/>
    <mergeCell ref="A14:B14"/>
    <mergeCell ref="C14:I14"/>
    <mergeCell ref="A15:B18"/>
    <mergeCell ref="C15:I18"/>
    <mergeCell ref="A19:I19"/>
    <mergeCell ref="A20:I20"/>
    <mergeCell ref="A21:I21"/>
    <mergeCell ref="A22:I22"/>
    <mergeCell ref="A23:I23"/>
    <mergeCell ref="A24:F24"/>
    <mergeCell ref="G24:H24"/>
    <mergeCell ref="A25:I25"/>
    <mergeCell ref="A26:I26"/>
    <mergeCell ref="A27:I27"/>
    <mergeCell ref="A28:I28"/>
    <mergeCell ref="A29:B31"/>
    <mergeCell ref="C29:D29"/>
    <mergeCell ref="E29:F29"/>
    <mergeCell ref="G29:H29"/>
    <mergeCell ref="C30:D30"/>
    <mergeCell ref="E30:F30"/>
    <mergeCell ref="G30:H30"/>
    <mergeCell ref="C31:D31"/>
    <mergeCell ref="E31:I31"/>
  </mergeCells>
  <pageMargins left="0.590416669845581" right="0.4723611176013947" top="0.8658333420753479" bottom="0.98416668176651" header="0.511388897895813" footer="0.5895833373069763"/>
  <pageSetup paperSize="9" orientation="portrait" horizontalDpi="4294967295" verticalDpi="4294967295" scale="100" fitToWidth="0" fitToHeight="0" firstPageNumber="1" useFirstPageNumber="1" copies="1"/>
  <headerFooter>
    <oddFooter>&amp;L&amp;"맑은 고딕,Regular"채무조정 신청서&amp;R&amp;"맑은 고딕,Regular"&amp;P/&amp;N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73"/>
  <sheetViews>
    <sheetView workbookViewId="0" zoomScale="80" zoomScaleNormal="80">
      <selection activeCell="A1" sqref="A1"/>
    </sheetView>
  </sheetViews>
  <sheetFormatPr defaultRowHeight="16.5" outlineLevelRow="0" outlineLevelCol="0" x14ac:dyDescent="0" defaultColWidth="9" customHeight="1"/>
  <cols>
    <col min="1" max="1" width="3.125" style="1" customWidth="1"/>
    <col min="2" max="2" width="8.5" style="1" customWidth="1"/>
    <col min="3" max="3" width="5.875" style="1" customWidth="1"/>
    <col min="4" max="4" width="11.125" style="1" customWidth="1"/>
    <col min="5" max="5" width="13.5" style="1" customWidth="1"/>
    <col min="6" max="6" width="8.875" style="1" customWidth="1"/>
    <col min="7" max="7" width="9" style="1" customWidth="1"/>
    <col min="8" max="8" width="10.125" style="1" customWidth="1"/>
    <col min="9" max="9" width="13.125" style="1" customWidth="1"/>
    <col min="10" max="10" width="1.5" style="1" customWidth="1"/>
  </cols>
  <sheetData>
    <row r="1" ht="19.5" customHeight="1" spans="1:5" s="1" customFormat="1" x14ac:dyDescent="0.25">
      <c r="A1" s="2" t="s">
        <v>30</v>
      </c>
      <c r="B1" s="1"/>
      <c r="C1" s="3" t="s">
        <v>31</v>
      </c>
      <c r="D1" s="1"/>
      <c r="E1" s="1"/>
    </row>
    <row r="2" ht="6.75" customHeight="1" spans="1:1" s="1" customFormat="1" x14ac:dyDescent="0.25">
      <c r="A2" s="4"/>
    </row>
    <row r="3" ht="20.25" customHeight="1" spans="1:9" s="1" customFormat="1" x14ac:dyDescent="0.25">
      <c r="A3" s="5" t="s">
        <v>31</v>
      </c>
      <c r="B3" s="1"/>
      <c r="C3" s="1"/>
      <c r="D3" s="1"/>
      <c r="E3" s="1"/>
      <c r="F3" s="1"/>
      <c r="G3" s="1"/>
      <c r="H3" s="1"/>
      <c r="I3" s="1"/>
    </row>
    <row r="4" ht="9" customHeight="1" spans="1:1" s="1" customFormat="1" x14ac:dyDescent="0.25">
      <c r="A4" s="69"/>
    </row>
    <row r="5" ht="24.75" customHeight="1" spans="1:9" s="1" customFormat="1" x14ac:dyDescent="0.25">
      <c r="A5" s="70" t="s">
        <v>4</v>
      </c>
      <c r="B5" s="71" t="s">
        <v>5</v>
      </c>
      <c r="C5" s="72"/>
      <c r="D5" s="73" t="s">
        <v>32</v>
      </c>
      <c r="E5" s="72"/>
      <c r="F5" s="71" t="s">
        <v>6</v>
      </c>
      <c r="G5" s="72"/>
      <c r="H5" s="13">
        <v>42</v>
      </c>
      <c r="I5" s="14" t="s">
        <v>33</v>
      </c>
    </row>
    <row r="6" ht="24.75" customHeight="1" spans="1:9" s="1" customFormat="1" x14ac:dyDescent="0.25">
      <c r="A6" s="74"/>
      <c r="B6" s="75" t="s">
        <v>7</v>
      </c>
      <c r="C6" s="17"/>
      <c r="D6" s="76"/>
      <c r="E6" s="17"/>
      <c r="F6" s="75" t="s">
        <v>8</v>
      </c>
      <c r="G6" s="17"/>
      <c r="H6" s="77"/>
      <c r="I6" s="78"/>
    </row>
    <row r="7" ht="15" customHeight="1" spans="1:9" s="1" customFormat="1" x14ac:dyDescent="0.25">
      <c r="A7" s="74"/>
      <c r="B7" s="75" t="s">
        <v>9</v>
      </c>
      <c r="C7" s="21"/>
      <c r="D7" s="79"/>
      <c r="E7" s="21"/>
      <c r="F7" s="75" t="s">
        <v>10</v>
      </c>
      <c r="G7" s="21"/>
      <c r="H7" s="80" t="s">
        <v>34</v>
      </c>
      <c r="I7" s="78"/>
    </row>
    <row r="8" ht="15" customHeight="1" spans="1:9" s="1" customFormat="1" x14ac:dyDescent="0.25">
      <c r="A8" s="74"/>
      <c r="B8" s="23"/>
      <c r="C8" s="24"/>
      <c r="D8" s="23"/>
      <c r="E8" s="24"/>
      <c r="F8" s="23"/>
      <c r="G8" s="24"/>
      <c r="H8" s="80">
        <f>신청서!H9</f>
      </c>
      <c r="I8" s="78"/>
    </row>
    <row r="9" ht="15" customHeight="1" spans="1:9" s="1" customFormat="1" x14ac:dyDescent="0.25">
      <c r="A9" s="74"/>
      <c r="B9" s="75" t="s">
        <v>11</v>
      </c>
      <c r="C9" s="17"/>
      <c r="D9" s="81" t="s">
        <v>35</v>
      </c>
      <c r="E9" s="26"/>
      <c r="F9" s="26"/>
      <c r="G9" s="26"/>
      <c r="H9" s="26"/>
      <c r="I9" s="78"/>
    </row>
    <row r="10" ht="15" customHeight="1" spans="1:9" s="1" customFormat="1" x14ac:dyDescent="0.25">
      <c r="A10" s="82"/>
      <c r="B10" s="83" t="s">
        <v>12</v>
      </c>
      <c r="C10" s="84"/>
      <c r="D10" s="85" t="s">
        <v>35</v>
      </c>
      <c r="E10" s="86"/>
      <c r="F10" s="87" t="s">
        <v>13</v>
      </c>
      <c r="G10" s="88"/>
      <c r="H10" s="89"/>
      <c r="I10" s="90"/>
    </row>
    <row r="11" ht="18.75" customHeight="1" spans="1:9" s="1" customFormat="1" x14ac:dyDescent="0.25">
      <c r="A11" s="91" t="s">
        <v>36</v>
      </c>
      <c r="B11" s="92"/>
      <c r="C11" s="93"/>
      <c r="D11" s="94"/>
      <c r="E11" s="95" t="s">
        <v>37</v>
      </c>
      <c r="F11" s="93"/>
      <c r="G11" s="94"/>
      <c r="H11" s="96" t="s">
        <v>38</v>
      </c>
      <c r="I11" s="97"/>
    </row>
    <row r="12" ht="8.25" customHeight="1" s="1" customFormat="1" x14ac:dyDescent="0.25"/>
    <row r="13" ht="19.5" customHeight="1" spans="1:9" s="1" customFormat="1" x14ac:dyDescent="0.25">
      <c r="A13" s="98" t="s">
        <v>39</v>
      </c>
      <c r="B13" s="99" t="s">
        <v>40</v>
      </c>
      <c r="C13" s="92"/>
      <c r="D13" s="100" t="s">
        <v>41</v>
      </c>
      <c r="E13" s="101"/>
      <c r="F13" s="101"/>
      <c r="G13" s="101"/>
      <c r="H13" s="101"/>
      <c r="I13" s="102"/>
    </row>
    <row r="14" ht="21.95" customHeight="1" spans="1:12" s="1" customFormat="1" x14ac:dyDescent="0.25">
      <c r="A14" s="103"/>
      <c r="B14" s="104" t="s">
        <v>42</v>
      </c>
      <c r="C14" s="105"/>
      <c r="D14" s="106" t="s">
        <v>43</v>
      </c>
      <c r="E14" s="107"/>
      <c r="F14" s="107"/>
      <c r="G14" s="107"/>
      <c r="H14" s="107"/>
      <c r="I14" s="108"/>
      <c r="L14" t="s">
        <v>44</v>
      </c>
    </row>
    <row r="15" ht="21.95" customHeight="1" spans="1:9" s="1" customFormat="1" x14ac:dyDescent="0.25">
      <c r="A15" s="103"/>
      <c r="B15" s="104" t="s">
        <v>42</v>
      </c>
      <c r="C15" s="109"/>
      <c r="D15" s="110" t="s">
        <v>45</v>
      </c>
      <c r="E15" s="111"/>
      <c r="F15" s="111"/>
      <c r="G15" s="111"/>
      <c r="H15" s="111"/>
      <c r="I15" s="112"/>
    </row>
    <row r="16" ht="21.95" customHeight="1" spans="1:9" s="1" customFormat="1" x14ac:dyDescent="0.25">
      <c r="A16" s="103"/>
      <c r="B16" s="113"/>
      <c r="C16" s="114"/>
      <c r="D16" s="113"/>
      <c r="E16" s="1"/>
      <c r="F16" s="1"/>
      <c r="G16" s="1"/>
      <c r="H16" s="1"/>
      <c r="I16" s="115"/>
    </row>
    <row r="17" ht="21.95" customHeight="1" spans="1:9" s="1" customFormat="1" x14ac:dyDescent="0.25">
      <c r="A17" s="103"/>
      <c r="B17" s="113"/>
      <c r="C17" s="114"/>
      <c r="D17" s="113"/>
      <c r="E17" s="1"/>
      <c r="F17" s="1"/>
      <c r="G17" s="1"/>
      <c r="H17" s="1"/>
      <c r="I17" s="115"/>
    </row>
    <row r="18" ht="21.95" customHeight="1" spans="1:9" s="1" customFormat="1" x14ac:dyDescent="0.25">
      <c r="A18" s="103"/>
      <c r="B18" s="113"/>
      <c r="C18" s="114"/>
      <c r="D18" s="113"/>
      <c r="E18" s="1"/>
      <c r="F18" s="1"/>
      <c r="G18" s="1"/>
      <c r="H18" s="1"/>
      <c r="I18" s="115"/>
    </row>
    <row r="19" ht="21.95" customHeight="1" spans="1:9" s="1" customFormat="1" x14ac:dyDescent="0.25">
      <c r="A19" s="103"/>
      <c r="B19" s="113"/>
      <c r="C19" s="114"/>
      <c r="D19" s="113"/>
      <c r="E19" s="1"/>
      <c r="F19" s="1"/>
      <c r="G19" s="1"/>
      <c r="H19" s="1"/>
      <c r="I19" s="115"/>
    </row>
    <row r="20" ht="21.95" customHeight="1" spans="1:9" s="1" customFormat="1" x14ac:dyDescent="0.25">
      <c r="A20" s="103"/>
      <c r="B20" s="113"/>
      <c r="C20" s="114"/>
      <c r="D20" s="113"/>
      <c r="E20" s="1"/>
      <c r="F20" s="1"/>
      <c r="G20" s="1"/>
      <c r="H20" s="1"/>
      <c r="I20" s="115"/>
    </row>
    <row r="21" ht="21.95" customHeight="1" spans="1:9" s="1" customFormat="1" x14ac:dyDescent="0.25">
      <c r="A21" s="103"/>
      <c r="B21" s="113"/>
      <c r="C21" s="114"/>
      <c r="D21" s="113"/>
      <c r="E21" s="1"/>
      <c r="F21" s="1"/>
      <c r="G21" s="1"/>
      <c r="H21" s="1"/>
      <c r="I21" s="115"/>
    </row>
    <row r="22" ht="21.95" customHeight="1" spans="1:9" s="1" customFormat="1" x14ac:dyDescent="0.25">
      <c r="A22" s="103"/>
      <c r="B22" s="113"/>
      <c r="C22" s="114"/>
      <c r="D22" s="113"/>
      <c r="E22" s="1"/>
      <c r="F22" s="1"/>
      <c r="G22" s="1"/>
      <c r="H22" s="1"/>
      <c r="I22" s="115"/>
    </row>
    <row r="23" ht="21.95" customHeight="1" spans="1:9" s="1" customFormat="1" x14ac:dyDescent="0.25">
      <c r="A23" s="103"/>
      <c r="B23" s="113"/>
      <c r="C23" s="114"/>
      <c r="D23" s="113"/>
      <c r="E23" s="1"/>
      <c r="F23" s="1"/>
      <c r="G23" s="1"/>
      <c r="H23" s="1"/>
      <c r="I23" s="115"/>
    </row>
    <row r="24" ht="21.95" customHeight="1" spans="1:9" s="1" customFormat="1" x14ac:dyDescent="0.25">
      <c r="A24" s="103"/>
      <c r="B24" s="113"/>
      <c r="C24" s="114"/>
      <c r="D24" s="113"/>
      <c r="E24" s="1"/>
      <c r="F24" s="1"/>
      <c r="G24" s="1"/>
      <c r="H24" s="1"/>
      <c r="I24" s="115"/>
    </row>
    <row r="25" ht="21.95" customHeight="1" spans="1:9" s="1" customFormat="1" x14ac:dyDescent="0.25">
      <c r="A25" s="103"/>
      <c r="B25" s="113"/>
      <c r="C25" s="114"/>
      <c r="D25" s="113"/>
      <c r="E25" s="1"/>
      <c r="F25" s="1"/>
      <c r="G25" s="1"/>
      <c r="H25" s="1"/>
      <c r="I25" s="115"/>
    </row>
    <row r="26" ht="21.95" customHeight="1" spans="1:9" s="1" customFormat="1" x14ac:dyDescent="0.25">
      <c r="A26" s="103"/>
      <c r="B26" s="113"/>
      <c r="C26" s="114"/>
      <c r="D26" s="113"/>
      <c r="E26" s="1"/>
      <c r="F26" s="1"/>
      <c r="G26" s="1"/>
      <c r="H26" s="1"/>
      <c r="I26" s="115"/>
    </row>
    <row r="27" ht="21.95" customHeight="1" spans="1:9" s="1" customFormat="1" x14ac:dyDescent="0.25">
      <c r="A27" s="103"/>
      <c r="B27" s="113"/>
      <c r="C27" s="114"/>
      <c r="D27" s="113"/>
      <c r="E27" s="1"/>
      <c r="F27" s="1"/>
      <c r="G27" s="1"/>
      <c r="H27" s="1"/>
      <c r="I27" s="115"/>
    </row>
    <row r="28" ht="21.95" customHeight="1" spans="1:9" s="1" customFormat="1" x14ac:dyDescent="0.25">
      <c r="A28" s="103"/>
      <c r="B28" s="113"/>
      <c r="C28" s="114"/>
      <c r="D28" s="113"/>
      <c r="E28" s="1"/>
      <c r="F28" s="1"/>
      <c r="G28" s="1"/>
      <c r="H28" s="1"/>
      <c r="I28" s="115"/>
    </row>
    <row r="29" ht="21.95" customHeight="1" spans="1:9" s="1" customFormat="1" x14ac:dyDescent="0.25">
      <c r="A29" s="103"/>
      <c r="B29" s="113"/>
      <c r="C29" s="114"/>
      <c r="D29" s="113"/>
      <c r="E29" s="1"/>
      <c r="F29" s="1"/>
      <c r="G29" s="1"/>
      <c r="H29" s="1"/>
      <c r="I29" s="115"/>
    </row>
    <row r="30" ht="21.95" customHeight="1" spans="1:9" s="1" customFormat="1" x14ac:dyDescent="0.25">
      <c r="A30" s="103"/>
      <c r="B30" s="113"/>
      <c r="C30" s="114"/>
      <c r="D30" s="113"/>
      <c r="E30" s="1"/>
      <c r="F30" s="1"/>
      <c r="G30" s="1"/>
      <c r="H30" s="1"/>
      <c r="I30" s="115"/>
    </row>
    <row r="31" ht="21.95" customHeight="1" spans="1:9" s="1" customFormat="1" x14ac:dyDescent="0.25">
      <c r="A31" s="103"/>
      <c r="B31" s="113"/>
      <c r="C31" s="114"/>
      <c r="D31" s="113"/>
      <c r="E31" s="1"/>
      <c r="F31" s="1"/>
      <c r="G31" s="1"/>
      <c r="H31" s="1"/>
      <c r="I31" s="115"/>
    </row>
    <row r="32" ht="21.95" customHeight="1" spans="1:9" s="1" customFormat="1" x14ac:dyDescent="0.25">
      <c r="A32" s="103"/>
      <c r="B32" s="113"/>
      <c r="C32" s="114"/>
      <c r="D32" s="113"/>
      <c r="E32" s="1"/>
      <c r="F32" s="1"/>
      <c r="G32" s="1"/>
      <c r="H32" s="1"/>
      <c r="I32" s="115"/>
    </row>
    <row r="33" ht="21.95" customHeight="1" spans="1:9" s="1" customFormat="1" x14ac:dyDescent="0.25">
      <c r="A33" s="103"/>
      <c r="B33" s="116"/>
      <c r="C33" s="94"/>
      <c r="D33" s="116"/>
      <c r="E33" s="117"/>
      <c r="F33" s="117"/>
      <c r="G33" s="117"/>
      <c r="H33" s="117"/>
      <c r="I33" s="118"/>
    </row>
    <row r="34" ht="21.95" customHeight="1" spans="1:9" s="1" customFormat="1" x14ac:dyDescent="0.25">
      <c r="A34" s="103"/>
      <c r="B34" s="119"/>
      <c r="C34" s="94"/>
      <c r="D34" s="106"/>
      <c r="E34" s="107"/>
      <c r="F34" s="107"/>
      <c r="G34" s="107"/>
      <c r="H34" s="107"/>
      <c r="I34" s="108"/>
    </row>
    <row r="35" ht="21.95" customHeight="1" spans="1:9" s="1" customFormat="1" x14ac:dyDescent="0.25">
      <c r="A35" s="120"/>
      <c r="B35" s="121"/>
      <c r="C35" s="122"/>
      <c r="D35" s="123"/>
      <c r="E35" s="124"/>
      <c r="F35" s="124"/>
      <c r="G35" s="124"/>
      <c r="H35" s="124"/>
      <c r="I35" s="125"/>
    </row>
    <row r="36" ht="9" customHeight="1" spans="1:9" s="1" customFormat="1" x14ac:dyDescent="0.25">
      <c r="A36" s="126"/>
      <c r="B36" s="127"/>
      <c r="C36" s="1"/>
      <c r="D36" s="1"/>
      <c r="E36" s="1"/>
      <c r="F36" s="1"/>
      <c r="G36" s="1"/>
      <c r="H36" s="1"/>
      <c r="I36" s="128"/>
    </row>
    <row r="37" ht="15" customHeight="1" spans="1:9" s="1" customFormat="1" x14ac:dyDescent="0.25">
      <c r="A37" s="129" t="s">
        <v>46</v>
      </c>
      <c r="B37" s="128"/>
      <c r="C37" s="128"/>
      <c r="D37" s="128"/>
      <c r="E37" s="128"/>
      <c r="F37" s="128"/>
      <c r="G37" s="128"/>
      <c r="H37" s="128"/>
      <c r="I37" s="128"/>
    </row>
    <row r="38" ht="15" customHeight="1" spans="1:9" s="1" customFormat="1" x14ac:dyDescent="0.25">
      <c r="A38" s="130" t="s">
        <v>47</v>
      </c>
      <c r="B38" s="101"/>
      <c r="C38" s="92"/>
      <c r="D38" s="131" t="s">
        <v>48</v>
      </c>
      <c r="E38" s="131" t="s">
        <v>49</v>
      </c>
      <c r="F38" s="131" t="s">
        <v>50</v>
      </c>
      <c r="G38" s="92"/>
      <c r="H38" s="132" t="s">
        <v>48</v>
      </c>
      <c r="I38" s="133" t="s">
        <v>49</v>
      </c>
    </row>
    <row r="39" ht="15" customHeight="1" spans="1:9" s="1" customFormat="1" x14ac:dyDescent="0.25">
      <c r="A39" s="134" t="s">
        <v>51</v>
      </c>
      <c r="B39" s="107"/>
      <c r="C39" s="105"/>
      <c r="D39" s="135">
        <v>14750</v>
      </c>
      <c r="E39" s="136"/>
      <c r="F39" s="137" t="s">
        <v>52</v>
      </c>
      <c r="G39" s="105"/>
      <c r="H39" s="138"/>
      <c r="I39" s="139"/>
    </row>
    <row r="40" ht="15" customHeight="1" spans="1:9" s="1" customFormat="1" x14ac:dyDescent="0.25">
      <c r="A40" s="134" t="s">
        <v>53</v>
      </c>
      <c r="B40" s="107"/>
      <c r="C40" s="105"/>
      <c r="D40" s="135" t="s">
        <v>35</v>
      </c>
      <c r="E40" s="136"/>
      <c r="F40" s="137" t="s">
        <v>54</v>
      </c>
      <c r="G40" s="105"/>
      <c r="H40" s="138"/>
      <c r="I40" s="139"/>
    </row>
    <row r="41" ht="15" customHeight="1" spans="1:9" s="1" customFormat="1" x14ac:dyDescent="0.25">
      <c r="A41" s="134" t="s">
        <v>55</v>
      </c>
      <c r="B41" s="107"/>
      <c r="C41" s="105"/>
      <c r="D41" s="135" t="s">
        <v>35</v>
      </c>
      <c r="E41" s="136"/>
      <c r="F41" s="137" t="s">
        <v>56</v>
      </c>
      <c r="G41" s="105"/>
      <c r="H41" s="138"/>
      <c r="I41" s="139"/>
    </row>
    <row r="42" ht="15" customHeight="1" spans="1:9" s="1" customFormat="1" x14ac:dyDescent="0.25">
      <c r="A42" s="134" t="s">
        <v>57</v>
      </c>
      <c r="B42" s="107"/>
      <c r="C42" s="105"/>
      <c r="D42" s="135" t="s">
        <v>35</v>
      </c>
      <c r="E42" s="136"/>
      <c r="F42" s="137" t="s">
        <v>58</v>
      </c>
      <c r="G42" s="105"/>
      <c r="H42" s="138"/>
      <c r="I42" s="139"/>
    </row>
    <row r="43" ht="15" customHeight="1" spans="1:9" s="1" customFormat="1" x14ac:dyDescent="0.25">
      <c r="A43" s="134" t="s">
        <v>59</v>
      </c>
      <c r="B43" s="107"/>
      <c r="C43" s="105"/>
      <c r="D43" s="135"/>
      <c r="E43" s="136"/>
      <c r="F43" s="140" t="s">
        <v>60</v>
      </c>
      <c r="G43" s="105"/>
      <c r="H43" s="138"/>
      <c r="I43" s="141"/>
    </row>
    <row r="44" ht="15" customHeight="1" spans="1:9" s="1" customFormat="1" x14ac:dyDescent="0.25">
      <c r="A44" s="134" t="s">
        <v>61</v>
      </c>
      <c r="B44" s="107"/>
      <c r="C44" s="105"/>
      <c r="D44" s="135"/>
      <c r="E44" s="142"/>
      <c r="F44" s="137" t="s">
        <v>62</v>
      </c>
      <c r="G44" s="105"/>
      <c r="H44" s="138"/>
      <c r="I44" s="141"/>
    </row>
    <row r="45" ht="15" customHeight="1" spans="1:9" s="1" customFormat="1" x14ac:dyDescent="0.25">
      <c r="A45" s="143" t="s">
        <v>63</v>
      </c>
      <c r="B45" s="124"/>
      <c r="C45" s="88"/>
      <c r="D45" s="144">
        <v>14750</v>
      </c>
      <c r="E45" s="145"/>
      <c r="F45" s="146" t="s">
        <v>64</v>
      </c>
      <c r="G45" s="88"/>
      <c r="H45" s="147" t="s">
        <v>35</v>
      </c>
      <c r="I45" s="148"/>
    </row>
    <row r="46" ht="12" customHeight="1" spans="1:9" s="1" customFormat="1" x14ac:dyDescent="0.25">
      <c r="A46" s="128"/>
      <c r="B46" s="128"/>
      <c r="C46" s="128"/>
      <c r="D46" s="128"/>
      <c r="E46" s="128"/>
      <c r="F46" s="128"/>
      <c r="G46" s="128"/>
      <c r="H46" s="128"/>
      <c r="I46" s="128"/>
    </row>
    <row r="47" ht="15" customHeight="1" spans="1:9" s="1" customFormat="1" x14ac:dyDescent="0.25">
      <c r="A47" s="129" t="s">
        <v>65</v>
      </c>
      <c r="B47" s="128"/>
      <c r="C47" s="128"/>
      <c r="D47" s="128"/>
      <c r="E47" s="128"/>
      <c r="F47" s="128"/>
      <c r="G47" s="128"/>
      <c r="H47" s="128"/>
      <c r="I47" s="128" t="s">
        <v>48</v>
      </c>
    </row>
    <row r="48" ht="15" customHeight="1" spans="1:10" s="1" customFormat="1" x14ac:dyDescent="0.25">
      <c r="A48" s="149" t="s">
        <v>66</v>
      </c>
      <c r="B48" s="105"/>
      <c r="C48" s="149" t="s">
        <v>67</v>
      </c>
      <c r="D48" s="105"/>
      <c r="E48" s="149" t="s">
        <v>68</v>
      </c>
      <c r="F48" s="149" t="s">
        <v>69</v>
      </c>
      <c r="G48" s="149" t="s">
        <v>70</v>
      </c>
      <c r="H48" s="149" t="s">
        <v>71</v>
      </c>
      <c r="I48" s="150" t="s">
        <v>72</v>
      </c>
      <c r="J48" s="128"/>
    </row>
    <row r="49" ht="15" customHeight="1" spans="1:10" s="1" customFormat="1" x14ac:dyDescent="0.25">
      <c r="A49" s="104" t="s">
        <v>73</v>
      </c>
      <c r="B49" s="105"/>
      <c r="C49" s="137" t="s">
        <v>74</v>
      </c>
      <c r="D49" s="105"/>
      <c r="E49" s="142" t="s">
        <v>75</v>
      </c>
      <c r="F49" s="151">
        <v>1000</v>
      </c>
      <c r="G49" s="151">
        <v>90</v>
      </c>
      <c r="H49" s="151"/>
      <c r="I49" s="152">
        <v>0</v>
      </c>
      <c r="J49" s="128"/>
    </row>
    <row r="50" ht="15" customHeight="1" spans="1:9" s="1" customFormat="1" x14ac:dyDescent="0.25">
      <c r="A50" s="153" t="s">
        <v>76</v>
      </c>
      <c r="B50" s="111"/>
      <c r="C50" s="111"/>
      <c r="D50" s="111"/>
      <c r="E50" s="111"/>
      <c r="F50" s="111"/>
      <c r="G50" s="111"/>
      <c r="H50" s="111"/>
      <c r="I50" s="111"/>
    </row>
    <row r="51" ht="6.75" customHeight="1" spans="1:9" s="1" customFormat="1" x14ac:dyDescent="0.25">
      <c r="A51" s="128"/>
      <c r="B51" s="128"/>
      <c r="C51" s="128"/>
      <c r="D51" s="128"/>
      <c r="E51" s="128"/>
      <c r="F51" s="128"/>
      <c r="G51" s="128"/>
      <c r="H51" s="128"/>
      <c r="I51" s="128"/>
    </row>
    <row r="52" ht="15" customHeight="1" spans="1:9" s="1" customFormat="1" x14ac:dyDescent="0.25">
      <c r="A52" s="129" t="s">
        <v>77</v>
      </c>
      <c r="B52" s="128"/>
      <c r="C52" s="128"/>
      <c r="D52" s="128"/>
      <c r="E52" s="128"/>
      <c r="F52" s="128"/>
      <c r="G52" s="128"/>
      <c r="H52" s="128"/>
      <c r="I52" s="128"/>
    </row>
    <row r="53" ht="15" customHeight="1" spans="1:9" s="1" customFormat="1" x14ac:dyDescent="0.25">
      <c r="A53" s="154" t="s">
        <v>78</v>
      </c>
      <c r="B53" s="92"/>
      <c r="C53" s="99" t="s">
        <v>48</v>
      </c>
      <c r="D53" s="92"/>
      <c r="E53" s="99" t="s">
        <v>79</v>
      </c>
      <c r="F53" s="101"/>
      <c r="G53" s="101"/>
      <c r="H53" s="101"/>
      <c r="I53" s="92"/>
    </row>
    <row r="54" ht="15" customHeight="1" spans="1:9" s="1" customFormat="1" x14ac:dyDescent="0.25">
      <c r="A54" s="155" t="s">
        <v>80</v>
      </c>
      <c r="B54" s="105"/>
      <c r="C54" s="156">
        <v>200</v>
      </c>
      <c r="D54" s="105"/>
      <c r="E54" s="106" t="s">
        <v>35</v>
      </c>
      <c r="F54" s="107"/>
      <c r="G54" s="107"/>
      <c r="H54" s="107"/>
      <c r="I54" s="108"/>
    </row>
    <row r="55" ht="9.75" customHeight="1" s="1" customFormat="1" x14ac:dyDescent="0.25"/>
    <row r="56" ht="15" customHeight="1" spans="1:7" s="1" customFormat="1" x14ac:dyDescent="0.25">
      <c r="A56" s="129" t="s">
        <v>81</v>
      </c>
      <c r="B56" s="128"/>
      <c r="C56" s="128"/>
      <c r="D56" s="128"/>
      <c r="E56" s="128"/>
      <c r="F56" s="128"/>
      <c r="G56" s="128"/>
    </row>
    <row r="57" ht="15" customHeight="1" spans="1:9" s="1" customFormat="1" x14ac:dyDescent="0.25">
      <c r="A57" s="157" t="s">
        <v>82</v>
      </c>
      <c r="B57" s="105"/>
      <c r="C57" s="137" t="s">
        <v>83</v>
      </c>
      <c r="D57" s="158" t="s">
        <v>84</v>
      </c>
      <c r="E57" s="159">
        <v>0</v>
      </c>
      <c r="F57" s="160" t="s">
        <v>85</v>
      </c>
      <c r="G57" s="161"/>
      <c r="H57" s="161" t="s">
        <v>86</v>
      </c>
      <c r="I57" s="162">
        <v>0</v>
      </c>
    </row>
    <row r="58" ht="9" customHeight="1" spans="1:9" s="1" customFormat="1" x14ac:dyDescent="0.25">
      <c r="A58" s="163"/>
      <c r="B58" s="163"/>
      <c r="C58" s="163"/>
      <c r="D58" s="164"/>
      <c r="E58" s="165"/>
      <c r="F58" s="166"/>
      <c r="G58" s="167"/>
      <c r="H58" s="167"/>
      <c r="I58" s="168"/>
    </row>
    <row r="59" ht="15" customHeight="1" spans="1:9" s="1" customFormat="1" x14ac:dyDescent="0.25">
      <c r="A59" s="169" t="s">
        <v>87</v>
      </c>
      <c r="B59" s="163"/>
      <c r="C59" s="163"/>
      <c r="D59" s="164"/>
      <c r="E59" s="165"/>
      <c r="F59" s="166"/>
      <c r="G59" s="167"/>
      <c r="H59" s="167"/>
      <c r="I59" s="168"/>
    </row>
    <row r="60" ht="15" customHeight="1" spans="1:9" s="1" customFormat="1" x14ac:dyDescent="0.25">
      <c r="A60" s="170" t="s">
        <v>88</v>
      </c>
      <c r="B60" s="107"/>
      <c r="C60" s="107"/>
      <c r="D60" s="107"/>
      <c r="E60" s="105"/>
      <c r="F60" s="170" t="s">
        <v>89</v>
      </c>
      <c r="G60" s="107"/>
      <c r="H60" s="107"/>
      <c r="I60" s="105"/>
    </row>
    <row r="61" ht="15" customHeight="1" spans="1:9" s="1" customFormat="1" x14ac:dyDescent="0.25">
      <c r="A61" s="170" t="s">
        <v>90</v>
      </c>
      <c r="B61" s="107"/>
      <c r="C61" s="107"/>
      <c r="D61" s="107"/>
      <c r="E61" s="105"/>
      <c r="F61" s="170" t="s">
        <v>89</v>
      </c>
      <c r="G61" s="107"/>
      <c r="H61" s="107"/>
      <c r="I61" s="105"/>
    </row>
    <row r="62" ht="15" customHeight="1" spans="1:9" s="1" customFormat="1" x14ac:dyDescent="0.25">
      <c r="A62" s="170" t="s">
        <v>91</v>
      </c>
      <c r="B62" s="107"/>
      <c r="C62" s="107"/>
      <c r="D62" s="107"/>
      <c r="E62" s="105"/>
      <c r="F62" s="170" t="s">
        <v>89</v>
      </c>
      <c r="G62" s="107"/>
      <c r="H62" s="107"/>
      <c r="I62" s="105"/>
    </row>
    <row r="63" ht="29.25" customHeight="1" spans="1:9" s="1" customFormat="1" x14ac:dyDescent="0.25">
      <c r="A63" s="171" t="s">
        <v>92</v>
      </c>
      <c r="B63" s="111"/>
      <c r="C63" s="111"/>
      <c r="D63" s="111"/>
      <c r="E63" s="111"/>
      <c r="F63" s="111"/>
      <c r="G63" s="111"/>
      <c r="H63" s="111"/>
      <c r="I63" s="111"/>
    </row>
    <row r="64" ht="32.25" customHeight="1" spans="1:9" s="1" customFormat="1" x14ac:dyDescent="0.25">
      <c r="A64" s="172" t="s">
        <v>93</v>
      </c>
      <c r="B64" s="105"/>
      <c r="C64" s="173" t="s">
        <v>35</v>
      </c>
      <c r="D64" s="107"/>
      <c r="E64" s="107"/>
      <c r="F64" s="107"/>
      <c r="G64" s="107"/>
      <c r="H64" s="107"/>
      <c r="I64" s="105"/>
    </row>
    <row r="66" ht="17.25" customHeight="1" spans="1:9" s="1" customFormat="1" x14ac:dyDescent="0.25">
      <c r="A66" s="174" t="s">
        <v>94</v>
      </c>
      <c r="B66" s="128"/>
      <c r="C66" s="128"/>
      <c r="D66" s="128"/>
      <c r="E66" s="128"/>
      <c r="F66" s="128"/>
      <c r="G66" s="128"/>
      <c r="H66" s="128"/>
      <c r="I66" s="128"/>
    </row>
    <row r="67" spans="1:9" x14ac:dyDescent="0.25">
      <c r="A67" s="128"/>
      <c r="B67" s="128"/>
      <c r="C67" s="128"/>
      <c r="D67" s="128"/>
      <c r="E67" s="128"/>
      <c r="F67" s="128"/>
      <c r="G67" s="128"/>
      <c r="H67" s="128"/>
      <c r="I67" s="128"/>
    </row>
    <row r="68" spans="1:9" x14ac:dyDescent="0.25">
      <c r="A68" s="130" t="s">
        <v>47</v>
      </c>
      <c r="B68" s="101"/>
      <c r="C68" s="92"/>
      <c r="D68" s="131" t="s">
        <v>48</v>
      </c>
      <c r="E68" s="131" t="s">
        <v>95</v>
      </c>
      <c r="F68" s="101"/>
      <c r="G68" s="101"/>
      <c r="H68" s="101"/>
      <c r="I68" s="92"/>
    </row>
    <row r="69" ht="21.95" customHeight="1" spans="1:9" s="1" customFormat="1" x14ac:dyDescent="0.25">
      <c r="A69" s="134" t="s">
        <v>96</v>
      </c>
      <c r="B69" s="107"/>
      <c r="C69" s="105"/>
      <c r="D69" s="175"/>
      <c r="E69" s="170"/>
      <c r="F69" s="107"/>
      <c r="G69" s="107"/>
      <c r="H69" s="107"/>
      <c r="I69" s="105"/>
    </row>
    <row r="70" ht="21.95" customHeight="1" spans="1:9" s="1" customFormat="1" x14ac:dyDescent="0.25">
      <c r="A70" s="134" t="s">
        <v>97</v>
      </c>
      <c r="B70" s="107"/>
      <c r="C70" s="105"/>
      <c r="D70" s="175"/>
      <c r="E70" s="170"/>
      <c r="F70" s="107"/>
      <c r="G70" s="107"/>
      <c r="H70" s="107"/>
      <c r="I70" s="105"/>
    </row>
    <row r="71" ht="21.95" customHeight="1" spans="1:9" s="1" customFormat="1" x14ac:dyDescent="0.25">
      <c r="A71" s="134" t="s">
        <v>98</v>
      </c>
      <c r="B71" s="107"/>
      <c r="C71" s="105"/>
      <c r="D71" s="175"/>
      <c r="E71" s="106"/>
      <c r="F71" s="107"/>
      <c r="G71" s="107"/>
      <c r="H71" s="107"/>
      <c r="I71" s="108"/>
    </row>
    <row r="72" ht="21.95" customHeight="1" spans="1:9" s="1" customFormat="1" x14ac:dyDescent="0.25">
      <c r="A72" s="134"/>
      <c r="B72" s="107"/>
      <c r="C72" s="105"/>
      <c r="D72" s="175"/>
      <c r="E72" s="170"/>
      <c r="F72" s="107"/>
      <c r="G72" s="107"/>
      <c r="H72" s="107"/>
      <c r="I72" s="105"/>
    </row>
    <row r="73" spans="1:9" x14ac:dyDescent="0.25">
      <c r="A73" s="176" t="s">
        <v>63</v>
      </c>
      <c r="B73" s="124"/>
      <c r="C73" s="177"/>
      <c r="D73" s="178"/>
      <c r="E73" s="123"/>
      <c r="F73" s="124"/>
      <c r="G73" s="124"/>
      <c r="H73" s="124"/>
      <c r="I73" s="125"/>
    </row>
  </sheetData>
  <mergeCells count="86">
    <mergeCell ref="A1:B1"/>
    <mergeCell ref="C1:E1"/>
    <mergeCell ref="A3:I3"/>
    <mergeCell ref="B5:C5"/>
    <mergeCell ref="D5:E5"/>
    <mergeCell ref="F5:G5"/>
    <mergeCell ref="A5:A10"/>
    <mergeCell ref="B6:C6"/>
    <mergeCell ref="D6:E6"/>
    <mergeCell ref="F6:G6"/>
    <mergeCell ref="H6:I6"/>
    <mergeCell ref="B7:C8"/>
    <mergeCell ref="D7:E8"/>
    <mergeCell ref="F7:G8"/>
    <mergeCell ref="H7:I7"/>
    <mergeCell ref="H8:I8"/>
    <mergeCell ref="B9:C9"/>
    <mergeCell ref="D9:I9"/>
    <mergeCell ref="B10:C10"/>
    <mergeCell ref="D10:E10"/>
    <mergeCell ref="F10:G10"/>
    <mergeCell ref="H10:I10"/>
    <mergeCell ref="A11:B11"/>
    <mergeCell ref="C11:D11"/>
    <mergeCell ref="F11:G11"/>
    <mergeCell ref="B13:C13"/>
    <mergeCell ref="D13:I13"/>
    <mergeCell ref="A13:A35"/>
    <mergeCell ref="B14:C14"/>
    <mergeCell ref="D14:I14"/>
    <mergeCell ref="B15:C33"/>
    <mergeCell ref="D15:I33"/>
    <mergeCell ref="B34:C34"/>
    <mergeCell ref="D34:I34"/>
    <mergeCell ref="B35:C35"/>
    <mergeCell ref="D35:I35"/>
    <mergeCell ref="B36:H36"/>
    <mergeCell ref="A38:C38"/>
    <mergeCell ref="F38:G38"/>
    <mergeCell ref="A39:C39"/>
    <mergeCell ref="F39:G39"/>
    <mergeCell ref="A40:C40"/>
    <mergeCell ref="F40:G40"/>
    <mergeCell ref="A41:C41"/>
    <mergeCell ref="F41:G41"/>
    <mergeCell ref="A42:C42"/>
    <mergeCell ref="F42:G42"/>
    <mergeCell ref="A43:C43"/>
    <mergeCell ref="F43:G43"/>
    <mergeCell ref="A44:C44"/>
    <mergeCell ref="F44:G44"/>
    <mergeCell ref="A45:C45"/>
    <mergeCell ref="F45:G45"/>
    <mergeCell ref="A48:B48"/>
    <mergeCell ref="C48:D48"/>
    <mergeCell ref="A49:B49"/>
    <mergeCell ref="C49:D49"/>
    <mergeCell ref="A50:I50"/>
    <mergeCell ref="A53:B53"/>
    <mergeCell ref="C53:D53"/>
    <mergeCell ref="E53:I53"/>
    <mergeCell ref="A54:B54"/>
    <mergeCell ref="C54:D54"/>
    <mergeCell ref="E54:I54"/>
    <mergeCell ref="A57:B57"/>
    <mergeCell ref="A60:E60"/>
    <mergeCell ref="F60:I60"/>
    <mergeCell ref="A61:E61"/>
    <mergeCell ref="F61:I61"/>
    <mergeCell ref="A62:E62"/>
    <mergeCell ref="F62:I62"/>
    <mergeCell ref="A63:I63"/>
    <mergeCell ref="A64:B64"/>
    <mergeCell ref="C64:I64"/>
    <mergeCell ref="A68:C68"/>
    <mergeCell ref="E68:I68"/>
    <mergeCell ref="A69:C69"/>
    <mergeCell ref="E69:I69"/>
    <mergeCell ref="A70:C70"/>
    <mergeCell ref="E70:I70"/>
    <mergeCell ref="A71:C71"/>
    <mergeCell ref="E71:I71"/>
    <mergeCell ref="A72:C72"/>
    <mergeCell ref="E72:I72"/>
    <mergeCell ref="A73:B73"/>
    <mergeCell ref="E73:I73"/>
  </mergeCells>
  <pageMargins left="0.590416669845581" right="0.5098611116409302" top="0.6000000238418579" bottom="0.5098611116409302" header="0.511388897895813" footer="0.3934722244739532"/>
  <pageSetup paperSize="9" orientation="portrait" horizontalDpi="4294967295" verticalDpi="1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68"/>
  <sheetViews>
    <sheetView workbookViewId="0" zoomScale="100" zoomScaleNormal="100">
      <selection activeCell="F22" sqref="F22"/>
    </sheetView>
  </sheetViews>
  <sheetFormatPr defaultRowHeight="16.5" outlineLevelRow="0" outlineLevelCol="0" x14ac:dyDescent="0" defaultColWidth="9" customHeight="1"/>
  <cols>
    <col min="1" max="1" width="4.375" style="1" customWidth="1"/>
    <col min="2" max="2" width="11.5" style="1" customWidth="1"/>
    <col min="3" max="3" width="14.875" style="1" customWidth="1"/>
    <col min="4" max="4" width="10.125" style="1" customWidth="1"/>
    <col min="5" max="5" width="19.875" style="1" customWidth="1"/>
    <col min="6" max="6" width="7.125" style="128" customWidth="1"/>
    <col min="7" max="7" width="13.125" style="1" customWidth="1"/>
    <col min="9" max="9" width="29.875" style="1" customWidth="1"/>
    <col min="10" max="10" width="38.5" style="1" customWidth="1"/>
  </cols>
  <sheetData>
    <row r="1" spans="1:5" x14ac:dyDescent="0.25">
      <c r="A1" s="179" t="s">
        <v>99</v>
      </c>
      <c r="B1" s="1"/>
      <c r="C1" s="180" t="s">
        <v>100</v>
      </c>
      <c r="D1" s="1"/>
      <c r="E1" s="1"/>
    </row>
    <row r="2" spans="1:1" x14ac:dyDescent="0.25">
      <c r="A2" s="4"/>
    </row>
    <row r="3" ht="27.75" customHeight="1" spans="1:7" s="1" customFormat="1" x14ac:dyDescent="0.25">
      <c r="A3" s="181" t="s">
        <v>101</v>
      </c>
      <c r="B3" s="1"/>
      <c r="C3" s="1"/>
      <c r="D3" s="1"/>
      <c r="E3" s="1"/>
      <c r="F3" s="182"/>
      <c r="G3" s="1"/>
    </row>
    <row r="5" spans="1:7" x14ac:dyDescent="0.25">
      <c r="A5" s="183" t="s">
        <v>102</v>
      </c>
      <c r="B5" s="184" t="s">
        <v>103</v>
      </c>
      <c r="C5" s="185" t="s">
        <v>32</v>
      </c>
      <c r="D5" s="186" t="s">
        <v>6</v>
      </c>
      <c r="E5" s="187" t="s">
        <v>33</v>
      </c>
      <c r="F5" s="186" t="s">
        <v>104</v>
      </c>
      <c r="G5" s="188" t="s">
        <v>34</v>
      </c>
    </row>
    <row r="6" spans="1:7" x14ac:dyDescent="0.25">
      <c r="A6" s="103"/>
      <c r="B6" s="189" t="s">
        <v>105</v>
      </c>
      <c r="C6" s="190"/>
      <c r="D6" s="107"/>
      <c r="E6" s="191" t="s">
        <v>106</v>
      </c>
      <c r="F6" s="192"/>
      <c r="G6" s="108"/>
    </row>
    <row r="7" spans="1:7" x14ac:dyDescent="0.25">
      <c r="A7" s="120"/>
      <c r="B7" s="193" t="s">
        <v>107</v>
      </c>
      <c r="C7" s="194" t="s">
        <v>35</v>
      </c>
      <c r="D7" s="124"/>
      <c r="E7" s="195" t="s">
        <v>108</v>
      </c>
      <c r="F7" s="196"/>
      <c r="G7" s="125"/>
    </row>
    <row r="8" spans="1:7" x14ac:dyDescent="0.25">
      <c r="A8" s="128"/>
      <c r="B8" s="128"/>
      <c r="C8" s="128"/>
      <c r="D8" s="128"/>
      <c r="E8" s="128"/>
      <c r="G8" s="128"/>
    </row>
    <row r="9" spans="1:7" x14ac:dyDescent="0.25">
      <c r="A9" s="197" t="s">
        <v>109</v>
      </c>
      <c r="B9" s="184" t="s">
        <v>36</v>
      </c>
      <c r="C9" s="185"/>
      <c r="D9" s="186" t="s">
        <v>110</v>
      </c>
      <c r="E9" s="185"/>
      <c r="F9" s="185" t="s">
        <v>111</v>
      </c>
      <c r="G9" s="188"/>
    </row>
    <row r="10" spans="1:7" x14ac:dyDescent="0.25">
      <c r="A10" s="198" t="s">
        <v>112</v>
      </c>
      <c r="B10" s="193" t="s">
        <v>110</v>
      </c>
      <c r="C10" s="199"/>
      <c r="D10" s="195" t="s">
        <v>110</v>
      </c>
      <c r="E10" s="199"/>
      <c r="F10" s="199" t="s">
        <v>110</v>
      </c>
      <c r="G10" s="196"/>
    </row>
    <row r="11" spans="1:7" x14ac:dyDescent="0.25">
      <c r="A11" s="128"/>
      <c r="B11" s="128"/>
      <c r="C11" s="128"/>
      <c r="D11" s="128"/>
      <c r="E11" s="128"/>
      <c r="G11" s="128"/>
    </row>
    <row r="12" ht="21.75" customHeight="1" spans="1:10" s="1" customFormat="1" x14ac:dyDescent="0.25">
      <c r="A12" s="200"/>
      <c r="B12" s="200" t="s">
        <v>113</v>
      </c>
      <c r="C12" s="107"/>
      <c r="D12" s="107"/>
      <c r="E12" s="105"/>
      <c r="F12" s="200" t="s">
        <v>114</v>
      </c>
      <c r="G12" s="200" t="s">
        <v>115</v>
      </c>
      <c r="I12" s="201" t="s">
        <v>116</v>
      </c>
      <c r="J12" s="201" t="s">
        <v>117</v>
      </c>
    </row>
    <row r="13" ht="20.25" customHeight="1" spans="1:7" s="1" customFormat="1" x14ac:dyDescent="0.25">
      <c r="A13" s="202" t="s">
        <v>118</v>
      </c>
      <c r="B13" s="203" t="s">
        <v>119</v>
      </c>
      <c r="C13" s="111"/>
      <c r="D13" s="111"/>
      <c r="E13" s="111"/>
      <c r="F13" s="111"/>
      <c r="G13" s="109"/>
    </row>
    <row r="14" ht="57.75" customHeight="1" spans="1:7" s="1" customFormat="1" x14ac:dyDescent="0.25">
      <c r="A14" s="204"/>
      <c r="B14" s="205" t="s">
        <v>120</v>
      </c>
      <c r="C14" s="107"/>
      <c r="D14" s="107"/>
      <c r="E14" s="105"/>
      <c r="F14" s="137"/>
      <c r="G14" s="137" t="s">
        <v>121</v>
      </c>
    </row>
    <row r="15" ht="33.75" customHeight="1" spans="1:7" s="1" customFormat="1" x14ac:dyDescent="0.25">
      <c r="A15" s="113"/>
      <c r="B15" s="205" t="s">
        <v>122</v>
      </c>
      <c r="C15" s="107"/>
      <c r="D15" s="107"/>
      <c r="E15" s="105"/>
      <c r="F15" s="137"/>
      <c r="G15" s="206"/>
    </row>
    <row r="16" spans="1:7" x14ac:dyDescent="0.25">
      <c r="A16" s="207"/>
      <c r="B16" s="170" t="s">
        <v>123</v>
      </c>
      <c r="C16" s="107"/>
      <c r="D16" s="107"/>
      <c r="E16" s="105"/>
      <c r="F16" s="137"/>
      <c r="G16" s="206"/>
    </row>
    <row r="17" spans="1:7" x14ac:dyDescent="0.25">
      <c r="A17" s="113"/>
      <c r="B17" s="170" t="s">
        <v>124</v>
      </c>
      <c r="C17" s="107"/>
      <c r="D17" s="107"/>
      <c r="E17" s="105"/>
      <c r="F17" s="137"/>
      <c r="G17" s="206"/>
    </row>
    <row r="18" spans="1:7" x14ac:dyDescent="0.25">
      <c r="A18" s="113"/>
      <c r="B18" s="170" t="s">
        <v>125</v>
      </c>
      <c r="C18" s="107"/>
      <c r="D18" s="107"/>
      <c r="E18" s="105"/>
      <c r="F18" s="137"/>
      <c r="G18" s="206"/>
    </row>
    <row r="19" spans="1:7" x14ac:dyDescent="0.25">
      <c r="A19" s="113"/>
      <c r="B19" s="170" t="s">
        <v>126</v>
      </c>
      <c r="C19" s="107"/>
      <c r="D19" s="107"/>
      <c r="E19" s="105"/>
      <c r="F19" s="137"/>
      <c r="G19" s="206"/>
    </row>
    <row r="20" spans="1:7" x14ac:dyDescent="0.25">
      <c r="A20" s="116"/>
      <c r="B20" s="170" t="s">
        <v>127</v>
      </c>
      <c r="C20" s="107"/>
      <c r="D20" s="107"/>
      <c r="E20" s="105"/>
      <c r="F20" s="137"/>
      <c r="G20" s="208"/>
    </row>
    <row r="21" ht="25.5" customHeight="1" spans="1:7" s="1" customFormat="1" x14ac:dyDescent="0.25">
      <c r="A21" s="209" t="s">
        <v>128</v>
      </c>
      <c r="B21" s="210" t="s">
        <v>129</v>
      </c>
      <c r="C21" s="210"/>
      <c r="D21" s="210"/>
      <c r="E21" s="210"/>
      <c r="F21" s="211"/>
      <c r="G21" s="212"/>
    </row>
    <row r="22" ht="30.75" customHeight="1" spans="1:7" s="1" customFormat="1" x14ac:dyDescent="0.25">
      <c r="A22" s="213"/>
      <c r="B22" s="205" t="s">
        <v>130</v>
      </c>
      <c r="C22" s="107"/>
      <c r="D22" s="107"/>
      <c r="E22" s="105"/>
      <c r="F22" s="137"/>
      <c r="G22" s="137" t="s">
        <v>131</v>
      </c>
    </row>
    <row r="23" ht="33" customHeight="1" spans="1:7" s="1" customFormat="1" x14ac:dyDescent="0.25">
      <c r="A23" s="113"/>
      <c r="B23" s="205" t="s">
        <v>132</v>
      </c>
      <c r="C23" s="107"/>
      <c r="D23" s="107"/>
      <c r="E23" s="105"/>
      <c r="F23" s="137" t="s">
        <v>133</v>
      </c>
      <c r="G23" s="206"/>
    </row>
    <row r="24" ht="39.75" customHeight="1" spans="1:7" s="1" customFormat="1" x14ac:dyDescent="0.25">
      <c r="A24" s="113"/>
      <c r="B24" s="205" t="s">
        <v>134</v>
      </c>
      <c r="C24" s="107"/>
      <c r="D24" s="107"/>
      <c r="E24" s="105"/>
      <c r="F24" s="137"/>
      <c r="G24" s="206"/>
    </row>
    <row r="25" ht="18" customHeight="1" spans="1:7" s="1" customFormat="1" x14ac:dyDescent="0.25">
      <c r="A25" s="116"/>
      <c r="B25" s="205" t="s">
        <v>135</v>
      </c>
      <c r="C25" s="107"/>
      <c r="D25" s="107"/>
      <c r="E25" s="105"/>
      <c r="F25" s="137"/>
      <c r="G25" s="208"/>
    </row>
    <row r="26" ht="17.25" customHeight="1" spans="1:9" s="1" customFormat="1" x14ac:dyDescent="0.25">
      <c r="A26" s="209" t="s">
        <v>136</v>
      </c>
      <c r="B26" s="214" t="s">
        <v>137</v>
      </c>
      <c r="C26" s="111"/>
      <c r="D26" s="111"/>
      <c r="E26" s="111"/>
      <c r="F26" s="215"/>
      <c r="G26" s="216"/>
      <c r="I26" s="217" t="s">
        <v>138</v>
      </c>
    </row>
    <row r="27" spans="1:9" x14ac:dyDescent="0.25">
      <c r="A27" s="218"/>
      <c r="B27" s="170" t="s">
        <v>139</v>
      </c>
      <c r="C27" s="107"/>
      <c r="D27" s="107"/>
      <c r="E27" s="105"/>
      <c r="F27" s="137"/>
      <c r="G27" s="137" t="s">
        <v>140</v>
      </c>
      <c r="I27" s="219" t="s">
        <v>141</v>
      </c>
    </row>
    <row r="28" spans="1:9" x14ac:dyDescent="0.25">
      <c r="A28" s="206"/>
      <c r="B28" s="170" t="s">
        <v>142</v>
      </c>
      <c r="C28" s="107"/>
      <c r="D28" s="107"/>
      <c r="E28" s="105"/>
      <c r="F28" s="137"/>
      <c r="G28" s="206"/>
      <c r="I28" s="219" t="s">
        <v>143</v>
      </c>
    </row>
    <row r="29" spans="1:9" x14ac:dyDescent="0.25">
      <c r="A29" s="206"/>
      <c r="B29" s="170">
        <f>B17</f>
      </c>
      <c r="C29" s="107"/>
      <c r="D29" s="107"/>
      <c r="E29" s="105"/>
      <c r="F29" s="137"/>
      <c r="G29" s="206"/>
      <c r="I29" s="219" t="s">
        <v>144</v>
      </c>
    </row>
    <row r="30" spans="1:9" x14ac:dyDescent="0.25">
      <c r="A30" s="206"/>
      <c r="B30" s="170" t="s">
        <v>145</v>
      </c>
      <c r="C30" s="107"/>
      <c r="D30" s="107"/>
      <c r="E30" s="105"/>
      <c r="F30" s="137"/>
      <c r="G30" s="206"/>
      <c r="I30" s="220" t="s">
        <v>146</v>
      </c>
    </row>
    <row r="31" spans="1:9" x14ac:dyDescent="0.25">
      <c r="A31" s="206"/>
      <c r="B31" s="170" t="s">
        <v>147</v>
      </c>
      <c r="C31" s="107"/>
      <c r="D31" s="107"/>
      <c r="E31" s="105"/>
      <c r="F31" s="137"/>
      <c r="G31" s="206"/>
      <c r="I31" s="128"/>
    </row>
    <row r="32" ht="30" customHeight="1" spans="1:9" s="1" customFormat="1" x14ac:dyDescent="0.25">
      <c r="A32" s="206"/>
      <c r="B32" s="205" t="s">
        <v>148</v>
      </c>
      <c r="C32" s="107"/>
      <c r="D32" s="107"/>
      <c r="E32" s="105"/>
      <c r="F32" s="137"/>
      <c r="G32" s="206"/>
      <c r="I32" s="128"/>
    </row>
    <row r="33" ht="17.25" customHeight="1" spans="1:9" s="1" customFormat="1" x14ac:dyDescent="0.25">
      <c r="A33" s="206"/>
      <c r="B33" s="205" t="s">
        <v>149</v>
      </c>
      <c r="C33" s="107"/>
      <c r="D33" s="107"/>
      <c r="E33" s="105"/>
      <c r="F33" s="137"/>
      <c r="G33" s="206"/>
      <c r="I33" s="128"/>
    </row>
    <row r="34" spans="1:9" x14ac:dyDescent="0.25">
      <c r="A34" s="206"/>
      <c r="B34" s="170" t="s">
        <v>150</v>
      </c>
      <c r="C34" s="107"/>
      <c r="D34" s="107"/>
      <c r="E34" s="105"/>
      <c r="F34" s="137"/>
      <c r="G34" s="206"/>
      <c r="I34" s="128"/>
    </row>
    <row r="35" spans="1:9" x14ac:dyDescent="0.25">
      <c r="A35" s="206"/>
      <c r="B35" s="170" t="s">
        <v>151</v>
      </c>
      <c r="C35" s="107"/>
      <c r="D35" s="107"/>
      <c r="E35" s="105"/>
      <c r="F35" s="137"/>
      <c r="G35" s="206"/>
      <c r="I35" s="128"/>
    </row>
    <row r="36" spans="1:10" x14ac:dyDescent="0.25">
      <c r="A36" s="208"/>
      <c r="B36" s="170" t="s">
        <v>152</v>
      </c>
      <c r="C36" s="107"/>
      <c r="D36" s="107"/>
      <c r="E36" s="105"/>
      <c r="F36" s="137"/>
      <c r="G36" s="208"/>
      <c r="I36" s="128"/>
      <c r="J36" s="217" t="s">
        <v>153</v>
      </c>
    </row>
    <row r="37" ht="17.25" customHeight="1" spans="1:10" s="1" customFormat="1" x14ac:dyDescent="0.25">
      <c r="A37" s="209" t="s">
        <v>154</v>
      </c>
      <c r="B37" s="203" t="s">
        <v>155</v>
      </c>
      <c r="C37" s="111"/>
      <c r="D37" s="111"/>
      <c r="E37" s="111"/>
      <c r="F37" s="111"/>
      <c r="G37" s="109"/>
      <c r="I37" s="128"/>
      <c r="J37" s="219" t="s">
        <v>156</v>
      </c>
    </row>
    <row r="38" spans="1:10" x14ac:dyDescent="0.25">
      <c r="A38" s="221"/>
      <c r="B38" s="170" t="s">
        <v>157</v>
      </c>
      <c r="C38" s="107"/>
      <c r="D38" s="107"/>
      <c r="E38" s="105"/>
      <c r="F38" s="137"/>
      <c r="G38" s="137" t="s">
        <v>158</v>
      </c>
      <c r="I38" s="128" t="s">
        <v>159</v>
      </c>
      <c r="J38" s="219" t="s">
        <v>160</v>
      </c>
    </row>
    <row r="39" ht="17.25" customHeight="1" spans="1:10" s="1" customFormat="1" x14ac:dyDescent="0.25">
      <c r="A39" s="209" t="s">
        <v>161</v>
      </c>
      <c r="B39" s="203" t="s">
        <v>162</v>
      </c>
      <c r="C39" s="111"/>
      <c r="D39" s="111"/>
      <c r="E39" s="111"/>
      <c r="F39" s="111"/>
      <c r="G39" s="109"/>
      <c r="I39" s="128"/>
      <c r="J39" s="220" t="s">
        <v>163</v>
      </c>
    </row>
    <row r="40" spans="1:10" x14ac:dyDescent="0.25">
      <c r="A40" s="222"/>
      <c r="B40" s="170" t="s">
        <v>164</v>
      </c>
      <c r="C40" s="107"/>
      <c r="D40" s="107"/>
      <c r="E40" s="105"/>
      <c r="F40" s="137"/>
      <c r="G40" s="137" t="s">
        <v>121</v>
      </c>
      <c r="I40" s="128" t="s">
        <v>165</v>
      </c>
      <c r="J40" s="217" t="s">
        <v>166</v>
      </c>
    </row>
    <row r="41" spans="1:10" x14ac:dyDescent="0.25">
      <c r="A41" s="223"/>
      <c r="B41" s="170" t="s">
        <v>167</v>
      </c>
      <c r="C41" s="107"/>
      <c r="D41" s="107"/>
      <c r="E41" s="105"/>
      <c r="F41" s="137"/>
      <c r="G41" s="208"/>
      <c r="I41" s="128" t="s">
        <v>168</v>
      </c>
      <c r="J41" s="220" t="s">
        <v>169</v>
      </c>
    </row>
    <row r="42" ht="17.25" customHeight="1" spans="1:9" s="1" customFormat="1" x14ac:dyDescent="0.25">
      <c r="A42" s="224" t="s">
        <v>170</v>
      </c>
      <c r="B42" s="203" t="s">
        <v>171</v>
      </c>
      <c r="C42" s="111"/>
      <c r="D42" s="111"/>
      <c r="E42" s="111"/>
      <c r="F42" s="111"/>
      <c r="G42" s="109"/>
      <c r="I42" s="128"/>
    </row>
    <row r="43" spans="1:9" x14ac:dyDescent="0.25">
      <c r="A43" s="225"/>
      <c r="B43" s="170" t="s">
        <v>172</v>
      </c>
      <c r="C43" s="107"/>
      <c r="D43" s="107"/>
      <c r="E43" s="105"/>
      <c r="F43" s="137"/>
      <c r="G43" s="137" t="s">
        <v>121</v>
      </c>
      <c r="I43" s="128"/>
    </row>
    <row r="44" spans="1:9" x14ac:dyDescent="0.25">
      <c r="A44" s="225"/>
      <c r="B44" s="170" t="s">
        <v>173</v>
      </c>
      <c r="C44" s="107"/>
      <c r="D44" s="107"/>
      <c r="E44" s="105"/>
      <c r="F44" s="137"/>
      <c r="G44" s="206"/>
      <c r="I44" s="128"/>
    </row>
    <row r="45" spans="1:9" x14ac:dyDescent="0.25">
      <c r="A45" s="225"/>
      <c r="B45" s="170" t="s">
        <v>174</v>
      </c>
      <c r="C45" s="107"/>
      <c r="D45" s="107"/>
      <c r="E45" s="105"/>
      <c r="F45" s="137"/>
      <c r="G45" s="206"/>
      <c r="I45" s="128"/>
    </row>
    <row r="46" spans="1:9" x14ac:dyDescent="0.25">
      <c r="A46" s="225"/>
      <c r="B46" s="170" t="s">
        <v>175</v>
      </c>
      <c r="C46" s="107"/>
      <c r="D46" s="107"/>
      <c r="E46" s="105"/>
      <c r="F46" s="137"/>
      <c r="G46" s="208"/>
      <c r="I46" s="128"/>
    </row>
    <row r="47" ht="17.25" customHeight="1" spans="1:7" s="1" customFormat="1" x14ac:dyDescent="0.25">
      <c r="A47" s="209" t="s">
        <v>176</v>
      </c>
      <c r="B47" s="203" t="s">
        <v>177</v>
      </c>
      <c r="C47" s="111"/>
      <c r="D47" s="111"/>
      <c r="E47" s="111"/>
      <c r="F47" s="111"/>
      <c r="G47" s="109"/>
    </row>
    <row r="48" ht="21" customHeight="1" spans="1:7" s="1" customFormat="1" x14ac:dyDescent="0.25">
      <c r="A48" s="225"/>
      <c r="B48" s="226" t="s">
        <v>178</v>
      </c>
      <c r="C48" s="107"/>
      <c r="D48" s="107"/>
      <c r="E48" s="107"/>
      <c r="F48" s="105"/>
      <c r="G48" s="137" t="s">
        <v>179</v>
      </c>
    </row>
    <row r="49" ht="19.5" customHeight="1" spans="1:7" s="1" customFormat="1" x14ac:dyDescent="0.25">
      <c r="A49" s="225"/>
      <c r="B49" s="205" t="s">
        <v>180</v>
      </c>
      <c r="C49" s="107"/>
      <c r="D49" s="107"/>
      <c r="E49" s="105"/>
      <c r="F49" s="137"/>
      <c r="G49" s="206"/>
    </row>
    <row r="50" ht="20.25" customHeight="1" spans="1:7" s="1" customFormat="1" x14ac:dyDescent="0.25">
      <c r="A50" s="225"/>
      <c r="B50" s="170" t="s">
        <v>181</v>
      </c>
      <c r="C50" s="107"/>
      <c r="D50" s="107"/>
      <c r="E50" s="105"/>
      <c r="F50" s="137"/>
      <c r="G50" s="206"/>
    </row>
    <row r="51" ht="19.5" customHeight="1" spans="1:7" s="1" customFormat="1" x14ac:dyDescent="0.25">
      <c r="A51" s="225"/>
      <c r="B51" s="205" t="s">
        <v>182</v>
      </c>
      <c r="C51" s="107"/>
      <c r="D51" s="107"/>
      <c r="E51" s="105"/>
      <c r="F51" s="137"/>
      <c r="G51" s="206"/>
    </row>
    <row r="52" ht="18.75" customHeight="1" spans="1:7" s="1" customFormat="1" x14ac:dyDescent="0.25">
      <c r="A52" s="225"/>
      <c r="B52" s="205" t="s">
        <v>183</v>
      </c>
      <c r="C52" s="107"/>
      <c r="D52" s="107"/>
      <c r="E52" s="105"/>
      <c r="F52" s="137"/>
      <c r="G52" s="208"/>
    </row>
    <row r="53" spans="1:8" x14ac:dyDescent="0.25">
      <c r="A53" s="128"/>
      <c r="B53" s="128"/>
      <c r="C53" s="128"/>
      <c r="D53" s="128"/>
      <c r="E53" s="128"/>
      <c r="G53" s="128"/>
      <c r="H53" s="128"/>
    </row>
    <row r="54" spans="1:8" x14ac:dyDescent="0.25">
      <c r="A54" s="169" t="s">
        <v>184</v>
      </c>
      <c r="B54" s="1"/>
      <c r="C54" s="1"/>
      <c r="D54" s="1"/>
      <c r="E54" s="1"/>
      <c r="F54" s="128"/>
      <c r="G54" s="1"/>
      <c r="H54" s="128"/>
    </row>
    <row r="55" spans="1:8" x14ac:dyDescent="0.25">
      <c r="A55" s="130" t="s">
        <v>185</v>
      </c>
      <c r="B55" s="92"/>
      <c r="C55" s="131" t="s">
        <v>186</v>
      </c>
      <c r="D55" s="101"/>
      <c r="E55" s="101"/>
      <c r="F55" s="92"/>
      <c r="G55" s="133" t="s">
        <v>187</v>
      </c>
      <c r="H55" s="128"/>
    </row>
    <row r="56" spans="1:8" x14ac:dyDescent="0.25">
      <c r="A56" s="227" t="s">
        <v>188</v>
      </c>
      <c r="B56" s="216" t="s">
        <v>189</v>
      </c>
      <c r="C56" s="228" t="s">
        <v>190</v>
      </c>
      <c r="D56" s="111"/>
      <c r="E56" s="111"/>
      <c r="F56" s="109"/>
      <c r="G56" s="229"/>
      <c r="H56" s="128"/>
    </row>
    <row r="57" spans="1:8" x14ac:dyDescent="0.25">
      <c r="A57" s="227" t="s">
        <v>191</v>
      </c>
      <c r="B57" s="216" t="s">
        <v>131</v>
      </c>
      <c r="C57" s="113"/>
      <c r="D57" s="1"/>
      <c r="E57" s="1"/>
      <c r="F57" s="114"/>
      <c r="G57" s="230"/>
      <c r="H57" s="128"/>
    </row>
    <row r="58" spans="1:8" x14ac:dyDescent="0.25">
      <c r="A58" s="227" t="s">
        <v>188</v>
      </c>
      <c r="B58" s="216" t="s">
        <v>192</v>
      </c>
      <c r="C58" s="113"/>
      <c r="D58" s="1"/>
      <c r="E58" s="1"/>
      <c r="F58" s="114"/>
      <c r="G58" s="230"/>
      <c r="H58" s="128"/>
    </row>
    <row r="59" spans="1:8" x14ac:dyDescent="0.25">
      <c r="A59" s="227" t="s">
        <v>188</v>
      </c>
      <c r="B59" s="216" t="s">
        <v>193</v>
      </c>
      <c r="C59" s="113"/>
      <c r="D59" s="1"/>
      <c r="E59" s="1"/>
      <c r="F59" s="114"/>
      <c r="G59" s="230"/>
      <c r="H59" s="128"/>
    </row>
    <row r="60" spans="1:8" x14ac:dyDescent="0.25">
      <c r="A60" s="227" t="s">
        <v>188</v>
      </c>
      <c r="B60" s="216" t="s">
        <v>194</v>
      </c>
      <c r="C60" s="113"/>
      <c r="D60" s="1"/>
      <c r="E60" s="1"/>
      <c r="F60" s="114"/>
      <c r="G60" s="230"/>
      <c r="H60" s="128"/>
    </row>
    <row r="61" spans="1:8" x14ac:dyDescent="0.25">
      <c r="A61" s="227" t="s">
        <v>188</v>
      </c>
      <c r="B61" s="216" t="s">
        <v>96</v>
      </c>
      <c r="C61" s="113"/>
      <c r="D61" s="1"/>
      <c r="E61" s="1"/>
      <c r="F61" s="114"/>
      <c r="G61" s="230"/>
      <c r="H61" s="128"/>
    </row>
    <row r="62" spans="1:8" x14ac:dyDescent="0.25">
      <c r="A62" s="231" t="s">
        <v>188</v>
      </c>
      <c r="B62" s="232" t="s">
        <v>195</v>
      </c>
      <c r="C62" s="116"/>
      <c r="D62" s="117"/>
      <c r="E62" s="117"/>
      <c r="F62" s="94"/>
      <c r="G62" s="233"/>
      <c r="H62" s="128"/>
    </row>
    <row r="63" spans="1:8" x14ac:dyDescent="0.25">
      <c r="A63" s="128"/>
      <c r="B63" s="128"/>
      <c r="C63" s="127"/>
      <c r="D63" s="1"/>
      <c r="E63" s="1"/>
      <c r="F63" s="128"/>
      <c r="G63" s="128"/>
      <c r="H63" s="128"/>
    </row>
    <row r="64" spans="1:8" x14ac:dyDescent="0.25">
      <c r="A64" s="154" t="s">
        <v>196</v>
      </c>
      <c r="B64" s="92"/>
      <c r="C64" s="234" t="s">
        <v>197</v>
      </c>
      <c r="D64" s="235"/>
      <c r="E64" s="235"/>
      <c r="F64" s="235"/>
      <c r="G64" s="236"/>
      <c r="H64" s="128"/>
    </row>
    <row r="65" spans="1:7" x14ac:dyDescent="0.25">
      <c r="A65" s="237"/>
      <c r="B65" s="1"/>
      <c r="C65" s="1"/>
      <c r="D65" s="1"/>
      <c r="E65" s="1"/>
      <c r="F65" s="128"/>
      <c r="G65" s="115"/>
    </row>
    <row r="66" spans="1:7" x14ac:dyDescent="0.25">
      <c r="A66" s="238"/>
      <c r="B66" s="1"/>
      <c r="C66" s="1"/>
      <c r="D66" s="1"/>
      <c r="E66" s="1"/>
      <c r="F66" s="128"/>
      <c r="G66" s="115"/>
    </row>
    <row r="67" spans="1:7" x14ac:dyDescent="0.25">
      <c r="A67" s="238"/>
      <c r="B67" s="1"/>
      <c r="C67" s="1"/>
      <c r="D67" s="1"/>
      <c r="E67" s="1"/>
      <c r="F67" s="128"/>
      <c r="G67" s="115"/>
    </row>
    <row r="68" spans="1:7" x14ac:dyDescent="0.25">
      <c r="A68" s="239"/>
      <c r="B68" s="240"/>
      <c r="C68" s="240"/>
      <c r="D68" s="240"/>
      <c r="E68" s="240"/>
      <c r="F68" s="240"/>
      <c r="G68" s="241"/>
    </row>
  </sheetData>
  <mergeCells count="67">
    <mergeCell ref="A1:B1"/>
    <mergeCell ref="C1:E1"/>
    <mergeCell ref="A3:G3"/>
    <mergeCell ref="A5:A7"/>
    <mergeCell ref="C6:D6"/>
    <mergeCell ref="F6:G6"/>
    <mergeCell ref="C7:D7"/>
    <mergeCell ref="F7:G7"/>
    <mergeCell ref="B12:E12"/>
    <mergeCell ref="B13:G13"/>
    <mergeCell ref="B14:E14"/>
    <mergeCell ref="A14:A15"/>
    <mergeCell ref="B15:E15"/>
    <mergeCell ref="G14:G20"/>
    <mergeCell ref="B16:E16"/>
    <mergeCell ref="A16:A20"/>
    <mergeCell ref="B17:E17"/>
    <mergeCell ref="B18:E18"/>
    <mergeCell ref="B19:E19"/>
    <mergeCell ref="B20:E20"/>
    <mergeCell ref="B22:E22"/>
    <mergeCell ref="A22:A25"/>
    <mergeCell ref="B23:E23"/>
    <mergeCell ref="G22:G25"/>
    <mergeCell ref="B24:E24"/>
    <mergeCell ref="B25:E25"/>
    <mergeCell ref="B26:E26"/>
    <mergeCell ref="B27:E27"/>
    <mergeCell ref="A27:A36"/>
    <mergeCell ref="B28:E28"/>
    <mergeCell ref="G27:G36"/>
    <mergeCell ref="B29:E29"/>
    <mergeCell ref="B30:E30"/>
    <mergeCell ref="B31:E31"/>
    <mergeCell ref="B32:E32"/>
    <mergeCell ref="B33:E33"/>
    <mergeCell ref="B34:E34"/>
    <mergeCell ref="B35:E35"/>
    <mergeCell ref="B36:E36"/>
    <mergeCell ref="B37:G37"/>
    <mergeCell ref="B38:E38"/>
    <mergeCell ref="B39:G39"/>
    <mergeCell ref="B40:E40"/>
    <mergeCell ref="B41:E41"/>
    <mergeCell ref="G40:G41"/>
    <mergeCell ref="B42:G42"/>
    <mergeCell ref="B43:E43"/>
    <mergeCell ref="B44:E44"/>
    <mergeCell ref="G43:G46"/>
    <mergeCell ref="B45:E45"/>
    <mergeCell ref="B46:E46"/>
    <mergeCell ref="B47:G47"/>
    <mergeCell ref="B48:F48"/>
    <mergeCell ref="B49:E49"/>
    <mergeCell ref="G48:G52"/>
    <mergeCell ref="B50:E50"/>
    <mergeCell ref="B51:E51"/>
    <mergeCell ref="B52:E52"/>
    <mergeCell ref="A54:G54"/>
    <mergeCell ref="A55:B55"/>
    <mergeCell ref="C55:F55"/>
    <mergeCell ref="C56:F62"/>
    <mergeCell ref="G56:G62"/>
    <mergeCell ref="C63:F63"/>
    <mergeCell ref="A64:B64"/>
    <mergeCell ref="C64:G64"/>
    <mergeCell ref="A65:G68"/>
  </mergeCells>
  <conditionalFormatting sqref="G14">
    <cfRule type="containsText" dxfId="0" priority="1">
      <formula>NOT(ISERROR(SEARCH("파산신청",G14)))</formula>
    </cfRule>
  </conditionalFormatting>
  <conditionalFormatting sqref="G22:G25">
    <cfRule type="containsText" dxfId="1" priority="15">
      <formula>NOT(ISERROR(SEARCH("개인회생신청",G22)))</formula>
    </cfRule>
  </conditionalFormatting>
  <conditionalFormatting sqref="G27:G36">
    <cfRule type="containsText" dxfId="2" priority="14">
      <formula>NOT(ISERROR(SEARCH("사적조정",G27)))</formula>
    </cfRule>
  </conditionalFormatting>
  <conditionalFormatting sqref="G38">
    <cfRule type="containsText" dxfId="3" priority="13">
      <formula>NOT(ISERROR(SEARCH("개인워크아웃",G38)))</formula>
    </cfRule>
  </conditionalFormatting>
  <conditionalFormatting sqref="G40:G41">
    <cfRule type="containsText" dxfId="4" priority="12">
      <formula>NOT(ISERROR(SEARCH("프리워크아웃",G40)))</formula>
    </cfRule>
  </conditionalFormatting>
  <conditionalFormatting sqref="G43:G46">
    <cfRule type="containsText" dxfId="5" priority="11">
      <formula>NOT(ISERROR(SEARCH("신속채무조정",G43)))</formula>
    </cfRule>
  </conditionalFormatting>
  <conditionalFormatting sqref="G48">
    <cfRule type="expression" dxfId="6" priority="9">
      <formula>OR($G$48="자격 미달",$G$48="새출발기금")</formula>
    </cfRule>
  </conditionalFormatting>
  <conditionalFormatting sqref="G48:G52">
    <cfRule type="containsText" dxfId="7" priority="2">
      <formula>NOT(ISERROR(SEARCH("자격 미달",G48)))</formula>
    </cfRule>
    <cfRule type="containsText" dxfId="8" priority="3">
      <formula>NOT(ISERROR(SEARCH("가격 미달",G48)))</formula>
    </cfRule>
  </conditionalFormatting>
  <pageMargins left="0.6997222304344177" right="0.57" top="0.9595833420753479" bottom="0.800000011920929" header="0.319861114025116" footer="0.300000011920929"/>
  <pageSetup paperSize="9" orientation="portrait" horizontalDpi="4294967295" verticalDpi="4294967295" scale="100" fitToWidth="0"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29"/>
  <sheetViews>
    <sheetView workbookViewId="0" zoomScale="100" zoomScaleNormal="100">
      <selection activeCell="L20" sqref="L20"/>
    </sheetView>
  </sheetViews>
  <sheetFormatPr defaultRowHeight="16.5" outlineLevelRow="0" outlineLevelCol="0" x14ac:dyDescent="0" defaultColWidth="9" customHeight="1"/>
  <cols>
    <col min="1" max="1" width="2.125" style="1" customWidth="1"/>
    <col min="2" max="2" width="10.125" style="1" customWidth="1"/>
    <col min="3" max="3" width="15.125" style="1" customWidth="1"/>
    <col min="4" max="4" width="9.625" style="1" customWidth="1"/>
    <col min="5" max="5" width="9.375" style="1" customWidth="1"/>
    <col min="6" max="6" width="10.5" style="1" customWidth="1"/>
    <col min="8" max="8" width="17.625" style="1" customWidth="1"/>
  </cols>
  <sheetData>
    <row r="1" ht="21.75" customHeight="1" spans="1:8" s="1" customFormat="1" x14ac:dyDescent="0.25">
      <c r="A1" s="242" t="s">
        <v>198</v>
      </c>
      <c r="B1" s="1"/>
      <c r="C1" s="1"/>
      <c r="D1" s="1"/>
      <c r="E1" s="1"/>
      <c r="F1" s="1"/>
      <c r="G1" s="1"/>
      <c r="H1" s="1"/>
    </row>
    <row r="2" spans="1:6" x14ac:dyDescent="0.25">
      <c r="A2" s="243"/>
      <c r="B2" s="243"/>
      <c r="C2" s="243"/>
      <c r="D2" s="243"/>
      <c r="E2" s="243"/>
      <c r="F2" s="243"/>
    </row>
    <row r="3" ht="17.25" customHeight="1" spans="1:8" s="1" customFormat="1" x14ac:dyDescent="0.25">
      <c r="A3" s="244" t="s">
        <v>199</v>
      </c>
      <c r="B3" s="244"/>
      <c r="C3" s="244"/>
      <c r="D3" s="244"/>
      <c r="E3" s="244"/>
      <c r="F3" s="244"/>
      <c r="G3" s="245"/>
      <c r="H3" s="245"/>
    </row>
    <row r="4" ht="38.25" customHeight="1" spans="1:8" s="1" customFormat="1" x14ac:dyDescent="0.25">
      <c r="A4" s="246" t="s">
        <v>200</v>
      </c>
      <c r="B4" s="1"/>
      <c r="C4" s="1"/>
      <c r="D4" s="1"/>
      <c r="E4" s="1"/>
      <c r="F4" s="1"/>
      <c r="G4" s="1"/>
      <c r="H4" s="1"/>
    </row>
    <row r="5" ht="72" customHeight="1" spans="1:8" s="1" customFormat="1" x14ac:dyDescent="0.25">
      <c r="A5" s="246" t="s">
        <v>201</v>
      </c>
      <c r="B5" s="1"/>
      <c r="C5" s="1"/>
      <c r="D5" s="1"/>
      <c r="E5" s="1"/>
      <c r="F5" s="1"/>
      <c r="G5" s="1"/>
      <c r="H5" s="1"/>
    </row>
    <row r="6" ht="17.25" customHeight="1" spans="1:8" s="1" customFormat="1" x14ac:dyDescent="0.25">
      <c r="A6" s="244"/>
      <c r="B6" s="244"/>
      <c r="C6" s="244"/>
      <c r="D6" s="244"/>
      <c r="E6" s="244"/>
      <c r="F6" s="244"/>
      <c r="G6" s="245"/>
      <c r="H6" s="245"/>
    </row>
    <row r="7" ht="21.75" customHeight="1" spans="1:8" s="1" customFormat="1" x14ac:dyDescent="0.25">
      <c r="A7" s="244" t="s">
        <v>202</v>
      </c>
      <c r="B7" s="244"/>
      <c r="C7" s="247" t="s">
        <v>203</v>
      </c>
      <c r="D7" s="248"/>
      <c r="E7" s="1"/>
      <c r="F7" s="249" t="s">
        <v>204</v>
      </c>
      <c r="G7" s="248"/>
      <c r="H7" s="1"/>
    </row>
    <row r="8" ht="24" customHeight="1" spans="1:8" s="1" customFormat="1" x14ac:dyDescent="0.25">
      <c r="A8" s="244"/>
      <c r="B8" s="244" t="s">
        <v>205</v>
      </c>
      <c r="C8" s="250"/>
      <c r="D8" s="1"/>
      <c r="E8" s="1"/>
      <c r="F8" s="1"/>
      <c r="G8" s="1"/>
      <c r="H8" s="1"/>
    </row>
    <row r="9" ht="9" customHeight="1" spans="1:8" s="1" customFormat="1" x14ac:dyDescent="0.25">
      <c r="A9" s="244"/>
      <c r="B9" s="244"/>
      <c r="C9" s="244"/>
      <c r="D9" s="244"/>
      <c r="E9" s="244"/>
      <c r="F9" s="244"/>
      <c r="G9" s="245"/>
      <c r="H9" s="245"/>
    </row>
    <row r="10" ht="23.25" customHeight="1" spans="1:8" s="1" customFormat="1" x14ac:dyDescent="0.25">
      <c r="A10" s="251" t="s">
        <v>206</v>
      </c>
      <c r="B10" s="1"/>
      <c r="C10" s="1"/>
      <c r="D10" s="1"/>
      <c r="E10" s="1"/>
      <c r="F10" s="1"/>
      <c r="G10" s="1"/>
      <c r="H10" s="1"/>
    </row>
    <row r="11" ht="20.25" customHeight="1" spans="1:8" s="1" customFormat="1" x14ac:dyDescent="0.25">
      <c r="A11" s="252"/>
      <c r="B11" s="253" t="s">
        <v>207</v>
      </c>
      <c r="C11" s="254" t="s">
        <v>208</v>
      </c>
      <c r="D11" s="107"/>
      <c r="E11" s="107"/>
      <c r="F11" s="107"/>
      <c r="G11" s="107"/>
      <c r="H11" s="105"/>
    </row>
    <row r="12" ht="18" customHeight="1" spans="1:8" s="1" customFormat="1" x14ac:dyDescent="0.25">
      <c r="A12" s="252"/>
      <c r="B12" s="255" t="s">
        <v>209</v>
      </c>
      <c r="C12" s="256" t="s">
        <v>210</v>
      </c>
      <c r="D12" s="257"/>
      <c r="E12" s="257"/>
      <c r="F12" s="258"/>
      <c r="G12" s="256" t="s">
        <v>211</v>
      </c>
      <c r="H12" s="258"/>
    </row>
    <row r="13" ht="48.75" customHeight="1" spans="1:14" s="1" customFormat="1" x14ac:dyDescent="0.25">
      <c r="A13" s="252"/>
      <c r="B13" s="206"/>
      <c r="C13" s="259" t="s">
        <v>212</v>
      </c>
      <c r="D13" s="117"/>
      <c r="E13" s="117"/>
      <c r="F13" s="94"/>
      <c r="G13" s="259" t="s">
        <v>213</v>
      </c>
      <c r="H13" s="94"/>
      <c r="J13" s="260"/>
      <c r="K13" s="1"/>
      <c r="L13" s="1"/>
      <c r="M13" s="1"/>
      <c r="N13" s="1"/>
    </row>
    <row r="14" ht="24" customHeight="1" spans="1:8" s="1" customFormat="1" x14ac:dyDescent="0.25">
      <c r="A14" s="252"/>
      <c r="B14" s="208"/>
      <c r="C14" s="253" t="s">
        <v>214</v>
      </c>
      <c r="D14" s="107"/>
      <c r="E14" s="107"/>
      <c r="F14" s="107"/>
      <c r="G14" s="107"/>
      <c r="H14" s="105"/>
    </row>
    <row r="15" ht="77.25" customHeight="1" spans="1:8" s="1" customFormat="1" x14ac:dyDescent="0.25">
      <c r="A15" s="252"/>
      <c r="B15" s="255" t="s">
        <v>215</v>
      </c>
      <c r="C15" s="261" t="s">
        <v>216</v>
      </c>
      <c r="D15" s="107"/>
      <c r="E15" s="107"/>
      <c r="F15" s="107"/>
      <c r="G15" s="107"/>
      <c r="H15" s="105"/>
    </row>
    <row r="16" ht="9.75" customHeight="1" spans="1:8" s="1" customFormat="1" x14ac:dyDescent="0.25">
      <c r="A16" s="252"/>
      <c r="B16" s="252"/>
      <c r="C16" s="252"/>
      <c r="D16" s="252"/>
      <c r="E16" s="252"/>
      <c r="F16" s="252"/>
      <c r="G16" s="252"/>
      <c r="H16" s="252"/>
    </row>
    <row r="17" ht="33" customHeight="1" spans="1:8" s="1" customFormat="1" x14ac:dyDescent="0.25">
      <c r="A17" s="262" t="s">
        <v>217</v>
      </c>
      <c r="B17" s="1"/>
      <c r="C17" s="1"/>
      <c r="D17" s="1"/>
      <c r="E17" s="1"/>
      <c r="F17" s="1"/>
      <c r="G17" s="1"/>
      <c r="H17" s="1"/>
    </row>
    <row r="18" spans="1:6" x14ac:dyDescent="0.25">
      <c r="A18" s="243"/>
      <c r="B18" s="243" t="s">
        <v>218</v>
      </c>
      <c r="C18" s="243"/>
      <c r="D18" s="243"/>
      <c r="E18" s="243"/>
      <c r="F18" s="243"/>
    </row>
    <row r="19" ht="17.25" customHeight="1" spans="1:8" s="1" customFormat="1" x14ac:dyDescent="0.25">
      <c r="A19" s="244"/>
      <c r="B19" s="244" t="s">
        <v>219</v>
      </c>
      <c r="C19" s="244"/>
      <c r="D19" s="244"/>
      <c r="E19" s="244"/>
      <c r="F19" s="244"/>
      <c r="G19" s="244"/>
      <c r="H19" s="244"/>
    </row>
    <row r="20" ht="17.25" customHeight="1" spans="1:8" s="1" customFormat="1" x14ac:dyDescent="0.25">
      <c r="A20" s="244"/>
      <c r="B20" s="244" t="s">
        <v>220</v>
      </c>
      <c r="C20" s="244"/>
      <c r="D20" s="244"/>
      <c r="E20" s="244"/>
      <c r="F20" s="244"/>
      <c r="G20" s="245"/>
      <c r="H20" s="245"/>
    </row>
    <row r="21" ht="5.25" customHeight="1" spans="1:8" s="1" customFormat="1" x14ac:dyDescent="0.25">
      <c r="A21" s="244"/>
      <c r="B21" s="244"/>
      <c r="C21" s="244"/>
      <c r="D21" s="244"/>
      <c r="E21" s="244"/>
      <c r="F21" s="244"/>
      <c r="G21" s="245"/>
      <c r="H21" s="245"/>
    </row>
    <row r="22" spans="1:8" x14ac:dyDescent="0.25">
      <c r="A22" s="263" t="s">
        <v>221</v>
      </c>
      <c r="B22" s="1"/>
      <c r="C22" s="1"/>
      <c r="D22" s="1"/>
      <c r="E22" s="1"/>
      <c r="F22" s="1"/>
      <c r="G22"/>
      <c r="H22" s="1"/>
    </row>
    <row r="23" ht="17.25" customHeight="1" spans="1:8" s="1" customFormat="1" x14ac:dyDescent="0.25">
      <c r="A23" s="244"/>
      <c r="B23" s="244"/>
      <c r="C23" s="244"/>
      <c r="D23" s="244"/>
      <c r="E23" s="244"/>
      <c r="F23" s="244"/>
      <c r="G23" s="245"/>
      <c r="H23" s="245"/>
    </row>
    <row r="24" ht="17.25" customHeight="1" spans="1:8" s="1" customFormat="1" x14ac:dyDescent="0.25">
      <c r="A24" s="244"/>
      <c r="B24" s="249" t="s">
        <v>222</v>
      </c>
      <c r="C24" s="1"/>
      <c r="D24" s="1"/>
      <c r="E24" s="1"/>
      <c r="F24" s="1"/>
      <c r="G24" s="1"/>
      <c r="H24" s="245"/>
    </row>
    <row r="25" ht="17.25" customHeight="1" spans="1:8" s="1" customFormat="1" x14ac:dyDescent="0.25">
      <c r="A25" s="244"/>
      <c r="B25" s="244"/>
      <c r="C25" s="244"/>
      <c r="D25" s="244"/>
      <c r="E25" s="244"/>
      <c r="F25" s="244"/>
      <c r="G25" s="245"/>
      <c r="H25" s="245"/>
    </row>
    <row r="26" ht="19.5" customHeight="1" spans="1:8" s="1" customFormat="1" x14ac:dyDescent="0.25">
      <c r="A26" s="244"/>
      <c r="B26" s="244"/>
      <c r="C26" s="244"/>
      <c r="D26" s="264" t="s">
        <v>223</v>
      </c>
      <c r="E26" s="244"/>
      <c r="F26" s="244"/>
      <c r="G26" s="245"/>
      <c r="H26" s="245"/>
    </row>
    <row r="27" ht="17.25" customHeight="1" spans="1:8" s="1" customFormat="1" x14ac:dyDescent="0.25">
      <c r="A27" s="244"/>
      <c r="B27" s="244"/>
      <c r="C27" s="244"/>
      <c r="D27" s="244" t="s">
        <v>224</v>
      </c>
      <c r="E27" s="244"/>
      <c r="F27" s="244"/>
      <c r="G27" s="245"/>
      <c r="H27" s="245"/>
    </row>
    <row r="28" ht="17.25" customHeight="1" spans="1:8" s="1" customFormat="1" x14ac:dyDescent="0.25">
      <c r="A28" s="244"/>
      <c r="B28" s="244"/>
      <c r="C28" s="244"/>
      <c r="D28" s="244" t="s">
        <v>225</v>
      </c>
      <c r="E28" s="244"/>
      <c r="F28" s="244"/>
      <c r="G28" s="245"/>
      <c r="H28" s="245"/>
    </row>
    <row r="29" ht="17.25" customHeight="1" spans="1:8" s="1" customFormat="1" x14ac:dyDescent="0.25">
      <c r="A29" s="245"/>
      <c r="B29" s="245"/>
      <c r="C29" s="245"/>
      <c r="D29" s="245"/>
      <c r="E29" s="245"/>
      <c r="F29" s="245"/>
      <c r="G29" s="245"/>
      <c r="H29" s="245"/>
    </row>
  </sheetData>
  <mergeCells count="19">
    <mergeCell ref="A1:H1"/>
    <mergeCell ref="A4:H4"/>
    <mergeCell ref="A5:H5"/>
    <mergeCell ref="D7:E7"/>
    <mergeCell ref="G7:H7"/>
    <mergeCell ref="C8:H8"/>
    <mergeCell ref="A10:H10"/>
    <mergeCell ref="C11:H11"/>
    <mergeCell ref="C12:F12"/>
    <mergeCell ref="G12:H12"/>
    <mergeCell ref="B12:B14"/>
    <mergeCell ref="C13:F13"/>
    <mergeCell ref="G13:H13"/>
    <mergeCell ref="J13:N13"/>
    <mergeCell ref="C14:H14"/>
    <mergeCell ref="C15:H15"/>
    <mergeCell ref="A17:H17"/>
    <mergeCell ref="A22:H22"/>
    <mergeCell ref="B24:G24"/>
  </mergeCells>
  <pageMargins left="0.5600000023841858" right="0.589722216129303" top="0.8500000238418579" bottom="0.7900000214576721" header="0.300000011920929" footer="0.300000011920929"/>
  <pageSetup paperSize="9" orientation="portrait" horizontalDpi="4294967295"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43"/>
  <sheetViews>
    <sheetView workbookViewId="0" zoomScale="100" zoomScaleNormal="100">
      <selection activeCell="B28" sqref="B28"/>
    </sheetView>
  </sheetViews>
  <sheetFormatPr defaultRowHeight="16.5" outlineLevelRow="0" outlineLevelCol="0" x14ac:dyDescent="0" defaultColWidth="9" customHeight="1"/>
  <cols>
    <col min="1" max="1" width="13.375" style="1" customWidth="1"/>
    <col min="2" max="2" width="12.125" style="1" customWidth="1"/>
    <col min="3" max="3" width="14.875" style="1" customWidth="1"/>
    <col min="4" max="4" width="14" style="1" customWidth="1"/>
    <col min="5" max="5" width="24.625" style="1" customWidth="1"/>
  </cols>
  <sheetData>
    <row r="1" ht="21" customHeight="1" spans="1:6" s="1" customFormat="1" x14ac:dyDescent="0.25">
      <c r="A1" s="265" t="s">
        <v>226</v>
      </c>
      <c r="B1" s="1"/>
      <c r="C1" s="266" t="s">
        <v>227</v>
      </c>
      <c r="D1" s="1"/>
      <c r="E1" s="267"/>
      <c r="F1" s="267"/>
    </row>
    <row r="2" ht="19.5" customHeight="1" spans="1:1" s="1" customFormat="1" x14ac:dyDescent="0.25">
      <c r="A2" s="268"/>
    </row>
    <row r="3" ht="29.25" customHeight="1" spans="1:5" s="1" customFormat="1" x14ac:dyDescent="0.25">
      <c r="A3" s="269" t="s">
        <v>228</v>
      </c>
      <c r="B3" s="1"/>
      <c r="C3" s="1"/>
      <c r="D3" s="1"/>
      <c r="E3" s="1"/>
    </row>
    <row r="4" ht="12" customHeight="1" spans="1:1" s="1" customFormat="1" x14ac:dyDescent="0.25">
      <c r="A4" s="4"/>
    </row>
    <row r="5" ht="13.5" customHeight="1" spans="1:1" s="1" customFormat="1" x14ac:dyDescent="0.25">
      <c r="A5" s="69"/>
    </row>
    <row r="6" ht="24" customHeight="1" spans="1:5" s="1" customFormat="1" x14ac:dyDescent="0.25">
      <c r="A6" s="270" t="s">
        <v>229</v>
      </c>
      <c r="B6" s="1"/>
      <c r="C6" s="1"/>
      <c r="D6" s="1"/>
      <c r="E6" s="1"/>
    </row>
    <row r="7" ht="20.1" customHeight="1" spans="1:5" s="1" customFormat="1" x14ac:dyDescent="0.25">
      <c r="A7" s="271" t="s">
        <v>5</v>
      </c>
      <c r="B7" s="272">
        <f>상담일지!F11</f>
      </c>
      <c r="C7" s="273"/>
      <c r="D7" s="274" t="s">
        <v>29</v>
      </c>
      <c r="E7" s="275" t="s">
        <v>230</v>
      </c>
    </row>
    <row r="8" spans="1:5" x14ac:dyDescent="0.25">
      <c r="A8" s="276"/>
      <c r="B8" s="1"/>
      <c r="C8" s="1"/>
      <c r="D8" s="1"/>
      <c r="E8" s="1"/>
    </row>
    <row r="9" ht="24" customHeight="1" spans="1:5" s="1" customFormat="1" x14ac:dyDescent="0.25">
      <c r="A9" s="270" t="s">
        <v>231</v>
      </c>
      <c r="B9" s="1"/>
      <c r="C9" s="1"/>
      <c r="D9" s="1"/>
      <c r="E9" s="1"/>
    </row>
    <row r="10" ht="20.1" customHeight="1" spans="1:5" s="1" customFormat="1" x14ac:dyDescent="0.25">
      <c r="A10" s="277" t="s">
        <v>5</v>
      </c>
      <c r="B10" s="278">
        <f>신청서!D6</f>
      </c>
      <c r="C10" s="72"/>
      <c r="D10" s="279" t="s">
        <v>108</v>
      </c>
      <c r="E10" s="280">
        <f>신청서!E29</f>
      </c>
    </row>
    <row r="11" ht="20.1" customHeight="1" spans="1:5" s="1" customFormat="1" x14ac:dyDescent="0.25">
      <c r="A11" s="281" t="s">
        <v>7</v>
      </c>
      <c r="B11" s="61">
        <f>신청서!D7</f>
      </c>
      <c r="C11" s="17"/>
      <c r="D11" s="282" t="s">
        <v>29</v>
      </c>
      <c r="E11" s="283">
        <f>신청서!H8</f>
      </c>
    </row>
    <row r="12" ht="20.1" customHeight="1" spans="1:5" s="1" customFormat="1" x14ac:dyDescent="0.25">
      <c r="A12" s="281" t="s">
        <v>8</v>
      </c>
      <c r="B12" s="61">
        <f>신청서!H7</f>
      </c>
      <c r="C12" s="17"/>
      <c r="D12" s="282" t="s">
        <v>9</v>
      </c>
      <c r="E12" s="283">
        <f>신청서!D8</f>
      </c>
    </row>
    <row r="13" ht="20.1" customHeight="1" spans="1:5" s="1" customFormat="1" x14ac:dyDescent="0.25">
      <c r="A13" s="281" t="s">
        <v>232</v>
      </c>
      <c r="B13" s="61"/>
      <c r="C13" s="17"/>
      <c r="D13" s="282" t="s">
        <v>233</v>
      </c>
      <c r="E13" s="283" t="s">
        <v>234</v>
      </c>
    </row>
    <row r="14" ht="27" customHeight="1" spans="1:5" s="1" customFormat="1" x14ac:dyDescent="0.25">
      <c r="A14" s="284" t="s">
        <v>235</v>
      </c>
      <c r="B14" s="285" t="s">
        <v>236</v>
      </c>
      <c r="C14" s="26"/>
      <c r="D14" s="26"/>
      <c r="E14" s="78"/>
    </row>
    <row r="15" spans="1:5" x14ac:dyDescent="0.25">
      <c r="A15" s="286" t="s">
        <v>237</v>
      </c>
      <c r="B15" s="26"/>
      <c r="C15" s="26"/>
      <c r="D15" s="26"/>
      <c r="E15" s="78"/>
    </row>
    <row r="16" ht="24" customHeight="1" spans="1:5" s="1" customFormat="1" x14ac:dyDescent="0.25">
      <c r="A16" s="284" t="s">
        <v>238</v>
      </c>
      <c r="B16" s="287" t="s">
        <v>239</v>
      </c>
      <c r="C16" s="26"/>
      <c r="D16" s="26"/>
      <c r="E16" s="78"/>
    </row>
    <row r="17" ht="21" customHeight="1" spans="1:5" s="1" customFormat="1" x14ac:dyDescent="0.25">
      <c r="A17" s="284" t="s">
        <v>240</v>
      </c>
      <c r="B17" s="287" t="s">
        <v>131</v>
      </c>
      <c r="C17" s="26"/>
      <c r="D17" s="26"/>
      <c r="E17" s="78"/>
    </row>
    <row r="18" ht="9" customHeight="1" spans="1:5" s="1" customFormat="1" x14ac:dyDescent="0.25">
      <c r="A18" s="288" t="s">
        <v>241</v>
      </c>
      <c r="B18" s="289"/>
      <c r="C18" s="34"/>
      <c r="D18" s="34"/>
      <c r="E18" s="290"/>
    </row>
    <row r="19" spans="1:5" x14ac:dyDescent="0.25">
      <c r="A19" s="74"/>
      <c r="B19" s="291" t="s">
        <v>242</v>
      </c>
      <c r="C19" s="1"/>
      <c r="D19" s="1"/>
      <c r="E19" s="115"/>
    </row>
    <row r="20" spans="1:5" x14ac:dyDescent="0.25">
      <c r="A20" s="74"/>
      <c r="B20" s="292">
        <f>신청서!A21</f>
      </c>
      <c r="C20" s="293" t="s">
        <v>243</v>
      </c>
      <c r="D20" s="1"/>
      <c r="E20" s="115"/>
    </row>
    <row r="21" spans="1:5" x14ac:dyDescent="0.25">
      <c r="A21" s="74"/>
      <c r="B21" s="292">
        <f>상담일지!B15</f>
      </c>
      <c r="C21" s="293" t="s">
        <v>244</v>
      </c>
      <c r="D21" s="1"/>
      <c r="E21" s="115"/>
    </row>
    <row r="22" spans="1:5" x14ac:dyDescent="0.25">
      <c r="A22" s="74"/>
      <c r="C22" s="293"/>
      <c r="D22" s="1"/>
      <c r="E22" s="115"/>
    </row>
    <row r="23" spans="1:5" x14ac:dyDescent="0.25">
      <c r="A23" s="74"/>
      <c r="B23" s="292">
        <f>상담일지!B33</f>
      </c>
      <c r="C23" s="293"/>
      <c r="D23" s="1"/>
      <c r="E23" s="115"/>
    </row>
    <row r="24" spans="1:5" x14ac:dyDescent="0.25">
      <c r="A24" s="74"/>
      <c r="B24" s="292">
        <f>상담일지!B34</f>
      </c>
      <c r="C24" s="293"/>
      <c r="D24" s="1"/>
      <c r="E24" s="115"/>
    </row>
    <row r="25" spans="1:5" x14ac:dyDescent="0.25">
      <c r="A25" s="74"/>
      <c r="B25" s="292">
        <f>상담일지!B35</f>
      </c>
      <c r="C25" s="293"/>
      <c r="D25" s="1"/>
      <c r="E25" s="115"/>
    </row>
    <row r="26" spans="1:5" x14ac:dyDescent="0.25">
      <c r="A26" s="74"/>
      <c r="B26" s="294"/>
      <c r="C26" s="293"/>
      <c r="D26" s="1"/>
      <c r="E26" s="115"/>
    </row>
    <row r="27" spans="1:5" x14ac:dyDescent="0.25">
      <c r="A27" s="74"/>
      <c r="B27" s="291" t="s">
        <v>245</v>
      </c>
      <c r="C27" s="1"/>
      <c r="D27" s="1"/>
      <c r="E27" s="115"/>
    </row>
    <row r="28" ht="125.25" customHeight="1" spans="1:5" s="1" customFormat="1" x14ac:dyDescent="0.25">
      <c r="A28" s="74"/>
      <c r="B28" s="295" t="s">
        <v>246</v>
      </c>
      <c r="C28" s="1"/>
      <c r="D28" s="1"/>
      <c r="E28" s="115"/>
    </row>
    <row r="29" ht="8.25" customHeight="1" spans="1:5" s="1" customFormat="1" x14ac:dyDescent="0.25">
      <c r="A29" s="74"/>
      <c r="B29" s="296"/>
      <c r="C29" s="1"/>
      <c r="D29" s="1"/>
      <c r="E29" s="115"/>
    </row>
    <row r="30" spans="1:5" x14ac:dyDescent="0.25">
      <c r="A30" s="74"/>
      <c r="B30" s="291" t="s">
        <v>247</v>
      </c>
      <c r="C30" s="1"/>
      <c r="D30" s="1"/>
      <c r="E30" s="115"/>
    </row>
    <row r="31" ht="57" customHeight="1" spans="1:5" s="1" customFormat="1" x14ac:dyDescent="0.25">
      <c r="A31" s="74"/>
      <c r="B31" s="295" t="s">
        <v>248</v>
      </c>
      <c r="C31" s="1"/>
      <c r="D31" s="1"/>
      <c r="E31" s="115"/>
    </row>
    <row r="32" ht="7.5" customHeight="1" spans="1:5" s="1" customFormat="1" x14ac:dyDescent="0.25">
      <c r="A32" s="74"/>
      <c r="B32" s="296"/>
      <c r="C32" s="1"/>
      <c r="D32" s="1"/>
      <c r="E32" s="115"/>
    </row>
    <row r="33" spans="1:5" x14ac:dyDescent="0.25">
      <c r="A33" s="74"/>
      <c r="B33" s="291" t="s">
        <v>249</v>
      </c>
      <c r="C33" s="1"/>
      <c r="D33" s="1"/>
      <c r="E33" s="115"/>
    </row>
    <row r="34" ht="111" customHeight="1" spans="1:5" s="1" customFormat="1" x14ac:dyDescent="0.25">
      <c r="A34" s="74"/>
      <c r="B34" s="295" t="s">
        <v>250</v>
      </c>
      <c r="C34" s="1"/>
      <c r="D34" s="1"/>
      <c r="E34" s="115"/>
    </row>
    <row r="35" ht="6" customHeight="1" spans="1:5" s="1" customFormat="1" x14ac:dyDescent="0.25">
      <c r="A35" s="74"/>
      <c r="B35" s="296"/>
      <c r="C35" s="1"/>
      <c r="D35" s="1"/>
      <c r="E35" s="115"/>
    </row>
    <row r="36" spans="1:5" x14ac:dyDescent="0.25">
      <c r="A36" s="74"/>
      <c r="B36" s="291" t="s">
        <v>251</v>
      </c>
      <c r="C36" s="1"/>
      <c r="D36" s="1"/>
      <c r="E36" s="115"/>
    </row>
    <row r="37" ht="54" customHeight="1" spans="1:5" s="1" customFormat="1" x14ac:dyDescent="0.25">
      <c r="A37" s="74"/>
      <c r="B37" s="295" t="s">
        <v>252</v>
      </c>
      <c r="C37" s="1"/>
      <c r="D37" s="1"/>
      <c r="E37" s="115"/>
    </row>
    <row r="38" ht="6.75" customHeight="1" spans="1:5" s="1" customFormat="1" x14ac:dyDescent="0.25">
      <c r="A38" s="74"/>
      <c r="B38" s="296"/>
      <c r="C38" s="1"/>
      <c r="D38" s="1"/>
      <c r="E38" s="115"/>
    </row>
    <row r="39" spans="1:5" x14ac:dyDescent="0.25">
      <c r="A39" s="74"/>
      <c r="B39" s="291" t="s">
        <v>253</v>
      </c>
      <c r="C39" s="1"/>
      <c r="D39" s="1"/>
      <c r="E39" s="115"/>
    </row>
    <row r="40" ht="57" customHeight="1" spans="1:5" s="1" customFormat="1" x14ac:dyDescent="0.25">
      <c r="A40" s="74"/>
      <c r="B40" s="295"/>
      <c r="C40" s="1"/>
      <c r="D40" s="1"/>
      <c r="E40" s="115"/>
    </row>
    <row r="41" spans="1:5" x14ac:dyDescent="0.25">
      <c r="A41" s="74"/>
      <c r="B41" s="296"/>
      <c r="C41" s="1"/>
      <c r="D41" s="1"/>
      <c r="E41" s="115"/>
    </row>
    <row r="42" ht="44.25" customHeight="1" spans="1:5" s="1" customFormat="1" x14ac:dyDescent="0.25">
      <c r="A42" s="297" t="s">
        <v>254</v>
      </c>
      <c r="B42" s="298" t="s">
        <v>255</v>
      </c>
      <c r="C42" s="86"/>
      <c r="D42" s="86"/>
      <c r="E42" s="90"/>
    </row>
    <row r="43" spans="1:1" x14ac:dyDescent="0.25">
      <c r="A43" s="299"/>
    </row>
  </sheetData>
  <mergeCells count="41">
    <mergeCell ref="A1:B1"/>
    <mergeCell ref="C1:D1"/>
    <mergeCell ref="A3:E3"/>
    <mergeCell ref="A6:E6"/>
    <mergeCell ref="B7:C7"/>
    <mergeCell ref="A8:E8"/>
    <mergeCell ref="A9:E9"/>
    <mergeCell ref="B10:C10"/>
    <mergeCell ref="B11:C11"/>
    <mergeCell ref="B12:C12"/>
    <mergeCell ref="B13:C13"/>
    <mergeCell ref="B14:E14"/>
    <mergeCell ref="A15:E15"/>
    <mergeCell ref="B16:E16"/>
    <mergeCell ref="B17:E17"/>
    <mergeCell ref="B18:E18"/>
    <mergeCell ref="A18:A41"/>
    <mergeCell ref="B19:E19"/>
    <mergeCell ref="C20:E20"/>
    <mergeCell ref="C21:E21"/>
    <mergeCell ref="C22:E22"/>
    <mergeCell ref="C23:E23"/>
    <mergeCell ref="C24:E24"/>
    <mergeCell ref="C25:E25"/>
    <mergeCell ref="C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s>
  <conditionalFormatting sqref="B20:B21 B23:B25">
    <cfRule type="cellIs" dxfId="9" priority="1" operator="equal">
      <formula>0</formula>
    </cfRule>
  </conditionalFormatting>
  <pageMargins left="0.7400000095367432" right="0.6997222304344177" top="0.75" bottom="0.75" header="0.300000011920929" footer="0.300000011920929"/>
  <pageSetup paperSize="9" orientation="portrait" horizontalDpi="4294967295" verticalDpi="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L2"/>
  <sheetViews>
    <sheetView workbookViewId="0" zoomScale="100" zoomScaleNormal="100">
      <selection activeCell="A2" sqref="A2"/>
    </sheetView>
  </sheetViews>
  <sheetFormatPr defaultRowHeight="16.5" outlineLevelRow="0" outlineLevelCol="0" x14ac:dyDescent="0" defaultColWidth="9" customHeight="1"/>
  <cols>
    <col min="1" max="1" width="3.5" style="1" customWidth="1"/>
    <col min="2" max="2" width="5" style="1" customWidth="1"/>
    <col min="3" max="3" width="4.125" style="1" customWidth="1"/>
    <col min="4" max="4" width="11" style="1" customWidth="1"/>
    <col min="5" max="5" width="3.875" style="1" customWidth="1"/>
    <col min="6" max="6" width="11.125" style="1" customWidth="1"/>
    <col min="7" max="7" width="6.625" style="1" customWidth="1"/>
    <col min="8" max="8" width="7.625" style="1" customWidth="1"/>
    <col min="9" max="9" width="11.625" style="1" customWidth="1"/>
    <col min="10" max="10" width="5.125" style="1" customWidth="1"/>
    <col min="11" max="11" width="13.375" style="1" customWidth="1"/>
    <col min="12" max="12" width="15.125" style="1" customWidth="1"/>
    <col min="13" max="13" width="17" style="1" customWidth="1"/>
    <col min="14" max="14" width="12.625" style="1" customWidth="1"/>
    <col min="15" max="15" width="24.625" style="1" customWidth="1"/>
    <col min="16" max="16" width="13.625" style="1" customWidth="1"/>
    <col min="17" max="17" width="43.375" style="1" customWidth="1"/>
    <col min="18" max="19" width="18.625" style="1" customWidth="1"/>
    <col min="20" max="20" width="10.375" style="1" customWidth="1"/>
    <col min="21" max="21" width="14.5" style="1" customWidth="1"/>
    <col min="22" max="22" width="11.125" style="1" customWidth="1"/>
    <col min="23" max="23" width="12.625" style="1" customWidth="1"/>
    <col min="24" max="24" width="15.625" style="1" customWidth="1"/>
    <col min="25" max="25" width="31.875" style="1" customWidth="1"/>
    <col min="26" max="26" width="17.125" style="1" customWidth="1"/>
    <col min="27" max="29" width="15.625" style="1" customWidth="1"/>
    <col min="30" max="30" width="21.625" style="1" customWidth="1"/>
    <col min="31" max="31" width="40.5" style="1" customWidth="1"/>
    <col min="229" max="229" width="24.625" style="1" customWidth="1"/>
    <col min="230" max="230" width="12.625" style="1" customWidth="1"/>
    <col min="231" max="231" width="12.375" style="1" customWidth="1"/>
    <col min="232" max="232" width="19.625" style="1" customWidth="1"/>
    <col min="233" max="233" width="17.125" style="1" customWidth="1"/>
    <col min="234" max="234" width="18.625" style="1" customWidth="1"/>
    <col min="235" max="235" width="14.875" style="1" customWidth="1"/>
    <col min="236" max="236" width="20.5" style="1" customWidth="1"/>
    <col min="237" max="237" width="29.625" style="1" customWidth="1"/>
    <col min="238" max="238" width="16.875" style="1" customWidth="1"/>
    <col min="239" max="239" width="11.625" style="1" customWidth="1"/>
    <col min="240" max="240" width="18" style="1" customWidth="1"/>
    <col min="241" max="241" width="15.125" style="1" customWidth="1"/>
    <col min="242" max="242" width="12.125" style="1" customWidth="1"/>
    <col min="250" max="250" width="11.625" style="1" customWidth="1"/>
    <col min="251" max="251" width="6.125" style="1" customWidth="1"/>
    <col min="253" max="253" width="6.125" style="1" customWidth="1"/>
    <col min="254" max="254" width="10.625" style="1" customWidth="1"/>
    <col min="255" max="255" width="18.125" style="1" customWidth="1"/>
    <col min="485" max="485" width="24.625" style="1" customWidth="1"/>
    <col min="486" max="486" width="12.625" style="1" customWidth="1"/>
    <col min="487" max="487" width="12.375" style="1" customWidth="1"/>
    <col min="488" max="488" width="19.625" style="1" customWidth="1"/>
    <col min="489" max="489" width="17.125" style="1" customWidth="1"/>
    <col min="490" max="490" width="18.625" style="1" customWidth="1"/>
    <col min="491" max="491" width="14.875" style="1" customWidth="1"/>
    <col min="492" max="492" width="20.5" style="1" customWidth="1"/>
    <col min="493" max="493" width="29.625" style="1" customWidth="1"/>
    <col min="494" max="494" width="16.875" style="1" customWidth="1"/>
    <col min="495" max="495" width="11.625" style="1" customWidth="1"/>
    <col min="496" max="496" width="18" style="1" customWidth="1"/>
    <col min="497" max="497" width="15.125" style="1" customWidth="1"/>
    <col min="498" max="498" width="12.125" style="1" customWidth="1"/>
    <col min="506" max="506" width="11.625" style="1" customWidth="1"/>
    <col min="507" max="507" width="6.125" style="1" customWidth="1"/>
    <col min="509" max="509" width="6.125" style="1" customWidth="1"/>
    <col min="510" max="510" width="10.625" style="1" customWidth="1"/>
    <col min="511" max="511" width="18.125" style="1" customWidth="1"/>
    <col min="741" max="741" width="24.625" style="1" customWidth="1"/>
    <col min="742" max="742" width="12.625" style="1" customWidth="1"/>
    <col min="743" max="743" width="12.375" style="1" customWidth="1"/>
    <col min="744" max="744" width="19.625" style="1" customWidth="1"/>
    <col min="745" max="745" width="17.125" style="1" customWidth="1"/>
    <col min="746" max="746" width="18.625" style="1" customWidth="1"/>
    <col min="747" max="747" width="14.875" style="1" customWidth="1"/>
    <col min="748" max="748" width="20.5" style="1" customWidth="1"/>
    <col min="749" max="749" width="29.625" style="1" customWidth="1"/>
    <col min="750" max="750" width="16.875" style="1" customWidth="1"/>
    <col min="751" max="751" width="11.625" style="1" customWidth="1"/>
    <col min="752" max="752" width="18" style="1" customWidth="1"/>
    <col min="753" max="753" width="15.125" style="1" customWidth="1"/>
    <col min="754" max="754" width="12.125" style="1" customWidth="1"/>
    <col min="762" max="762" width="11.625" style="1" customWidth="1"/>
    <col min="763" max="763" width="6.125" style="1" customWidth="1"/>
    <col min="765" max="765" width="6.125" style="1" customWidth="1"/>
    <col min="766" max="766" width="10.625" style="1" customWidth="1"/>
    <col min="767" max="767" width="18.125" style="1" customWidth="1"/>
    <col min="997" max="997" width="24.625" style="1" customWidth="1"/>
    <col min="998" max="998" width="12.625" style="1" customWidth="1"/>
    <col min="999" max="999" width="12.375" style="1" customWidth="1"/>
    <col min="1000" max="1000" width="19.625" style="1" customWidth="1"/>
    <col min="1001" max="1001" width="17.125" style="1" customWidth="1"/>
    <col min="1002" max="1002" width="18.625" style="1" customWidth="1"/>
    <col min="1003" max="1003" width="14.875" style="1" customWidth="1"/>
    <col min="1004" max="1004" width="20.5" style="1" customWidth="1"/>
    <col min="1005" max="1005" width="29.625" style="1" customWidth="1"/>
    <col min="1006" max="1006" width="16.875" style="1" customWidth="1"/>
    <col min="1007" max="1007" width="11.625" style="1" customWidth="1"/>
    <col min="1008" max="1008" width="18" style="1" customWidth="1"/>
    <col min="1009" max="1009" width="15.125" style="1" customWidth="1"/>
    <col min="1010" max="1010" width="12.125" style="1" customWidth="1"/>
    <col min="1018" max="1018" width="11.625" style="1" customWidth="1"/>
    <col min="1019" max="1019" width="6.125" style="1" customWidth="1"/>
    <col min="1021" max="1021" width="6.125" style="1" customWidth="1"/>
    <col min="1022" max="1022" width="10.625" style="1" customWidth="1"/>
    <col min="1023" max="1023" width="18.125" style="1" customWidth="1"/>
    <col min="1253" max="1253" width="24.625" style="1" customWidth="1"/>
    <col min="1254" max="1254" width="12.625" style="1" customWidth="1"/>
    <col min="1255" max="1255" width="12.375" style="1" customWidth="1"/>
    <col min="1256" max="1256" width="19.625" style="1" customWidth="1"/>
    <col min="1257" max="1257" width="17.125" style="1" customWidth="1"/>
    <col min="1258" max="1258" width="18.625" style="1" customWidth="1"/>
    <col min="1259" max="1259" width="14.875" style="1" customWidth="1"/>
    <col min="1260" max="1260" width="20.5" style="1" customWidth="1"/>
    <col min="1261" max="1261" width="29.625" style="1" customWidth="1"/>
    <col min="1262" max="1262" width="16.875" style="1" customWidth="1"/>
    <col min="1263" max="1263" width="11.625" style="1" customWidth="1"/>
    <col min="1264" max="1264" width="18" style="1" customWidth="1"/>
    <col min="1265" max="1265" width="15.125" style="1" customWidth="1"/>
    <col min="1266" max="1266" width="12.125" style="1" customWidth="1"/>
    <col min="1274" max="1274" width="11.625" style="1" customWidth="1"/>
    <col min="1275" max="1275" width="6.125" style="1" customWidth="1"/>
    <col min="1277" max="1277" width="6.125" style="1" customWidth="1"/>
    <col min="1278" max="1278" width="10.625" style="1" customWidth="1"/>
    <col min="1279" max="1279" width="18.125" style="1" customWidth="1"/>
    <col min="1509" max="1509" width="24.625" style="1" customWidth="1"/>
    <col min="1510" max="1510" width="12.625" style="1" customWidth="1"/>
    <col min="1511" max="1511" width="12.375" style="1" customWidth="1"/>
    <col min="1512" max="1512" width="19.625" style="1" customWidth="1"/>
    <col min="1513" max="1513" width="17.125" style="1" customWidth="1"/>
    <col min="1514" max="1514" width="18.625" style="1" customWidth="1"/>
    <col min="1515" max="1515" width="14.875" style="1" customWidth="1"/>
    <col min="1516" max="1516" width="20.5" style="1" customWidth="1"/>
    <col min="1517" max="1517" width="29.625" style="1" customWidth="1"/>
    <col min="1518" max="1518" width="16.875" style="1" customWidth="1"/>
    <col min="1519" max="1519" width="11.625" style="1" customWidth="1"/>
    <col min="1520" max="1520" width="18" style="1" customWidth="1"/>
    <col min="1521" max="1521" width="15.125" style="1" customWidth="1"/>
    <col min="1522" max="1522" width="12.125" style="1" customWidth="1"/>
    <col min="1530" max="1530" width="11.625" style="1" customWidth="1"/>
    <col min="1531" max="1531" width="6.125" style="1" customWidth="1"/>
    <col min="1533" max="1533" width="6.125" style="1" customWidth="1"/>
    <col min="1534" max="1534" width="10.625" style="1" customWidth="1"/>
    <col min="1535" max="1535" width="18.125" style="1" customWidth="1"/>
    <col min="1765" max="1765" width="24.625" style="1" customWidth="1"/>
    <col min="1766" max="1766" width="12.625" style="1" customWidth="1"/>
    <col min="1767" max="1767" width="12.375" style="1" customWidth="1"/>
    <col min="1768" max="1768" width="19.625" style="1" customWidth="1"/>
    <col min="1769" max="1769" width="17.125" style="1" customWidth="1"/>
    <col min="1770" max="1770" width="18.625" style="1" customWidth="1"/>
    <col min="1771" max="1771" width="14.875" style="1" customWidth="1"/>
    <col min="1772" max="1772" width="20.5" style="1" customWidth="1"/>
    <col min="1773" max="1773" width="29.625" style="1" customWidth="1"/>
    <col min="1774" max="1774" width="16.875" style="1" customWidth="1"/>
    <col min="1775" max="1775" width="11.625" style="1" customWidth="1"/>
    <col min="1776" max="1776" width="18" style="1" customWidth="1"/>
    <col min="1777" max="1777" width="15.125" style="1" customWidth="1"/>
    <col min="1778" max="1778" width="12.125" style="1" customWidth="1"/>
    <col min="1786" max="1786" width="11.625" style="1" customWidth="1"/>
    <col min="1787" max="1787" width="6.125" style="1" customWidth="1"/>
    <col min="1789" max="1789" width="6.125" style="1" customWidth="1"/>
    <col min="1790" max="1790" width="10.625" style="1" customWidth="1"/>
    <col min="1791" max="1791" width="18.125" style="1" customWidth="1"/>
    <col min="2021" max="2021" width="24.625" style="1" customWidth="1"/>
    <col min="2022" max="2022" width="12.625" style="1" customWidth="1"/>
    <col min="2023" max="2023" width="12.375" style="1" customWidth="1"/>
    <col min="2024" max="2024" width="19.625" style="1" customWidth="1"/>
    <col min="2025" max="2025" width="17.125" style="1" customWidth="1"/>
    <col min="2026" max="2026" width="18.625" style="1" customWidth="1"/>
    <col min="2027" max="2027" width="14.875" style="1" customWidth="1"/>
    <col min="2028" max="2028" width="20.5" style="1" customWidth="1"/>
    <col min="2029" max="2029" width="29.625" style="1" customWidth="1"/>
    <col min="2030" max="2030" width="16.875" style="1" customWidth="1"/>
    <col min="2031" max="2031" width="11.625" style="1" customWidth="1"/>
    <col min="2032" max="2032" width="18" style="1" customWidth="1"/>
    <col min="2033" max="2033" width="15.125" style="1" customWidth="1"/>
    <col min="2034" max="2034" width="12.125" style="1" customWidth="1"/>
    <col min="2042" max="2042" width="11.625" style="1" customWidth="1"/>
    <col min="2043" max="2043" width="6.125" style="1" customWidth="1"/>
    <col min="2045" max="2045" width="6.125" style="1" customWidth="1"/>
    <col min="2046" max="2046" width="10.625" style="1" customWidth="1"/>
    <col min="2047" max="2047" width="18.125" style="1" customWidth="1"/>
    <col min="2277" max="2277" width="24.625" style="1" customWidth="1"/>
    <col min="2278" max="2278" width="12.625" style="1" customWidth="1"/>
    <col min="2279" max="2279" width="12.375" style="1" customWidth="1"/>
    <col min="2280" max="2280" width="19.625" style="1" customWidth="1"/>
    <col min="2281" max="2281" width="17.125" style="1" customWidth="1"/>
    <col min="2282" max="2282" width="18.625" style="1" customWidth="1"/>
    <col min="2283" max="2283" width="14.875" style="1" customWidth="1"/>
    <col min="2284" max="2284" width="20.5" style="1" customWidth="1"/>
    <col min="2285" max="2285" width="29.625" style="1" customWidth="1"/>
    <col min="2286" max="2286" width="16.875" style="1" customWidth="1"/>
    <col min="2287" max="2287" width="11.625" style="1" customWidth="1"/>
    <col min="2288" max="2288" width="18" style="1" customWidth="1"/>
    <col min="2289" max="2289" width="15.125" style="1" customWidth="1"/>
    <col min="2290" max="2290" width="12.125" style="1" customWidth="1"/>
    <col min="2298" max="2298" width="11.625" style="1" customWidth="1"/>
    <col min="2299" max="2299" width="6.125" style="1" customWidth="1"/>
    <col min="2301" max="2301" width="6.125" style="1" customWidth="1"/>
    <col min="2302" max="2302" width="10.625" style="1" customWidth="1"/>
    <col min="2303" max="2303" width="18.125" style="1" customWidth="1"/>
    <col min="2533" max="2533" width="24.625" style="1" customWidth="1"/>
    <col min="2534" max="2534" width="12.625" style="1" customWidth="1"/>
    <col min="2535" max="2535" width="12.375" style="1" customWidth="1"/>
    <col min="2536" max="2536" width="19.625" style="1" customWidth="1"/>
    <col min="2537" max="2537" width="17.125" style="1" customWidth="1"/>
    <col min="2538" max="2538" width="18.625" style="1" customWidth="1"/>
    <col min="2539" max="2539" width="14.875" style="1" customWidth="1"/>
    <col min="2540" max="2540" width="20.5" style="1" customWidth="1"/>
    <col min="2541" max="2541" width="29.625" style="1" customWidth="1"/>
    <col min="2542" max="2542" width="16.875" style="1" customWidth="1"/>
    <col min="2543" max="2543" width="11.625" style="1" customWidth="1"/>
    <col min="2544" max="2544" width="18" style="1" customWidth="1"/>
    <col min="2545" max="2545" width="15.125" style="1" customWidth="1"/>
    <col min="2546" max="2546" width="12.125" style="1" customWidth="1"/>
    <col min="2554" max="2554" width="11.625" style="1" customWidth="1"/>
    <col min="2555" max="2555" width="6.125" style="1" customWidth="1"/>
    <col min="2557" max="2557" width="6.125" style="1" customWidth="1"/>
    <col min="2558" max="2558" width="10.625" style="1" customWidth="1"/>
    <col min="2559" max="2559" width="18.125" style="1" customWidth="1"/>
    <col min="2789" max="2789" width="24.625" style="1" customWidth="1"/>
    <col min="2790" max="2790" width="12.625" style="1" customWidth="1"/>
    <col min="2791" max="2791" width="12.375" style="1" customWidth="1"/>
    <col min="2792" max="2792" width="19.625" style="1" customWidth="1"/>
    <col min="2793" max="2793" width="17.125" style="1" customWidth="1"/>
    <col min="2794" max="2794" width="18.625" style="1" customWidth="1"/>
    <col min="2795" max="2795" width="14.875" style="1" customWidth="1"/>
    <col min="2796" max="2796" width="20.5" style="1" customWidth="1"/>
    <col min="2797" max="2797" width="29.625" style="1" customWidth="1"/>
    <col min="2798" max="2798" width="16.875" style="1" customWidth="1"/>
    <col min="2799" max="2799" width="11.625" style="1" customWidth="1"/>
    <col min="2800" max="2800" width="18" style="1" customWidth="1"/>
    <col min="2801" max="2801" width="15.125" style="1" customWidth="1"/>
    <col min="2802" max="2802" width="12.125" style="1" customWidth="1"/>
    <col min="2810" max="2810" width="11.625" style="1" customWidth="1"/>
    <col min="2811" max="2811" width="6.125" style="1" customWidth="1"/>
    <col min="2813" max="2813" width="6.125" style="1" customWidth="1"/>
    <col min="2814" max="2814" width="10.625" style="1" customWidth="1"/>
    <col min="2815" max="2815" width="18.125" style="1" customWidth="1"/>
    <col min="3045" max="3045" width="24.625" style="1" customWidth="1"/>
    <col min="3046" max="3046" width="12.625" style="1" customWidth="1"/>
    <col min="3047" max="3047" width="12.375" style="1" customWidth="1"/>
    <col min="3048" max="3048" width="19.625" style="1" customWidth="1"/>
    <col min="3049" max="3049" width="17.125" style="1" customWidth="1"/>
    <col min="3050" max="3050" width="18.625" style="1" customWidth="1"/>
    <col min="3051" max="3051" width="14.875" style="1" customWidth="1"/>
    <col min="3052" max="3052" width="20.5" style="1" customWidth="1"/>
    <col min="3053" max="3053" width="29.625" style="1" customWidth="1"/>
    <col min="3054" max="3054" width="16.875" style="1" customWidth="1"/>
    <col min="3055" max="3055" width="11.625" style="1" customWidth="1"/>
    <col min="3056" max="3056" width="18" style="1" customWidth="1"/>
    <col min="3057" max="3057" width="15.125" style="1" customWidth="1"/>
    <col min="3058" max="3058" width="12.125" style="1" customWidth="1"/>
    <col min="3066" max="3066" width="11.625" style="1" customWidth="1"/>
    <col min="3067" max="3067" width="6.125" style="1" customWidth="1"/>
    <col min="3069" max="3069" width="6.125" style="1" customWidth="1"/>
    <col min="3070" max="3070" width="10.625" style="1" customWidth="1"/>
    <col min="3071" max="3071" width="18.125" style="1" customWidth="1"/>
    <col min="3301" max="3301" width="24.625" style="1" customWidth="1"/>
    <col min="3302" max="3302" width="12.625" style="1" customWidth="1"/>
    <col min="3303" max="3303" width="12.375" style="1" customWidth="1"/>
    <col min="3304" max="3304" width="19.625" style="1" customWidth="1"/>
    <col min="3305" max="3305" width="17.125" style="1" customWidth="1"/>
    <col min="3306" max="3306" width="18.625" style="1" customWidth="1"/>
    <col min="3307" max="3307" width="14.875" style="1" customWidth="1"/>
    <col min="3308" max="3308" width="20.5" style="1" customWidth="1"/>
    <col min="3309" max="3309" width="29.625" style="1" customWidth="1"/>
    <col min="3310" max="3310" width="16.875" style="1" customWidth="1"/>
    <col min="3311" max="3311" width="11.625" style="1" customWidth="1"/>
    <col min="3312" max="3312" width="18" style="1" customWidth="1"/>
    <col min="3313" max="3313" width="15.125" style="1" customWidth="1"/>
    <col min="3314" max="3314" width="12.125" style="1" customWidth="1"/>
    <col min="3322" max="3322" width="11.625" style="1" customWidth="1"/>
    <col min="3323" max="3323" width="6.125" style="1" customWidth="1"/>
    <col min="3325" max="3325" width="6.125" style="1" customWidth="1"/>
    <col min="3326" max="3326" width="10.625" style="1" customWidth="1"/>
    <col min="3327" max="3327" width="18.125" style="1" customWidth="1"/>
    <col min="3557" max="3557" width="24.625" style="1" customWidth="1"/>
    <col min="3558" max="3558" width="12.625" style="1" customWidth="1"/>
    <col min="3559" max="3559" width="12.375" style="1" customWidth="1"/>
    <col min="3560" max="3560" width="19.625" style="1" customWidth="1"/>
    <col min="3561" max="3561" width="17.125" style="1" customWidth="1"/>
    <col min="3562" max="3562" width="18.625" style="1" customWidth="1"/>
    <col min="3563" max="3563" width="14.875" style="1" customWidth="1"/>
    <col min="3564" max="3564" width="20.5" style="1" customWidth="1"/>
    <col min="3565" max="3565" width="29.625" style="1" customWidth="1"/>
    <col min="3566" max="3566" width="16.875" style="1" customWidth="1"/>
    <col min="3567" max="3567" width="11.625" style="1" customWidth="1"/>
    <col min="3568" max="3568" width="18" style="1" customWidth="1"/>
    <col min="3569" max="3569" width="15.125" style="1" customWidth="1"/>
    <col min="3570" max="3570" width="12.125" style="1" customWidth="1"/>
    <col min="3578" max="3578" width="11.625" style="1" customWidth="1"/>
    <col min="3579" max="3579" width="6.125" style="1" customWidth="1"/>
    <col min="3581" max="3581" width="6.125" style="1" customWidth="1"/>
    <col min="3582" max="3582" width="10.625" style="1" customWidth="1"/>
    <col min="3583" max="3583" width="18.125" style="1" customWidth="1"/>
    <col min="3813" max="3813" width="24.625" style="1" customWidth="1"/>
    <col min="3814" max="3814" width="12.625" style="1" customWidth="1"/>
    <col min="3815" max="3815" width="12.375" style="1" customWidth="1"/>
    <col min="3816" max="3816" width="19.625" style="1" customWidth="1"/>
    <col min="3817" max="3817" width="17.125" style="1" customWidth="1"/>
    <col min="3818" max="3818" width="18.625" style="1" customWidth="1"/>
    <col min="3819" max="3819" width="14.875" style="1" customWidth="1"/>
    <col min="3820" max="3820" width="20.5" style="1" customWidth="1"/>
    <col min="3821" max="3821" width="29.625" style="1" customWidth="1"/>
    <col min="3822" max="3822" width="16.875" style="1" customWidth="1"/>
    <col min="3823" max="3823" width="11.625" style="1" customWidth="1"/>
    <col min="3824" max="3824" width="18" style="1" customWidth="1"/>
    <col min="3825" max="3825" width="15.125" style="1" customWidth="1"/>
    <col min="3826" max="3826" width="12.125" style="1" customWidth="1"/>
    <col min="3834" max="3834" width="11.625" style="1" customWidth="1"/>
    <col min="3835" max="3835" width="6.125" style="1" customWidth="1"/>
    <col min="3837" max="3837" width="6.125" style="1" customWidth="1"/>
    <col min="3838" max="3838" width="10.625" style="1" customWidth="1"/>
    <col min="3839" max="3839" width="18.125" style="1" customWidth="1"/>
    <col min="4069" max="4069" width="24.625" style="1" customWidth="1"/>
    <col min="4070" max="4070" width="12.625" style="1" customWidth="1"/>
    <col min="4071" max="4071" width="12.375" style="1" customWidth="1"/>
    <col min="4072" max="4072" width="19.625" style="1" customWidth="1"/>
    <col min="4073" max="4073" width="17.125" style="1" customWidth="1"/>
    <col min="4074" max="4074" width="18.625" style="1" customWidth="1"/>
    <col min="4075" max="4075" width="14.875" style="1" customWidth="1"/>
    <col min="4076" max="4076" width="20.5" style="1" customWidth="1"/>
    <col min="4077" max="4077" width="29.625" style="1" customWidth="1"/>
    <col min="4078" max="4078" width="16.875" style="1" customWidth="1"/>
    <col min="4079" max="4079" width="11.625" style="1" customWidth="1"/>
    <col min="4080" max="4080" width="18" style="1" customWidth="1"/>
    <col min="4081" max="4081" width="15.125" style="1" customWidth="1"/>
    <col min="4082" max="4082" width="12.125" style="1" customWidth="1"/>
    <col min="4090" max="4090" width="11.625" style="1" customWidth="1"/>
    <col min="4091" max="4091" width="6.125" style="1" customWidth="1"/>
    <col min="4093" max="4093" width="6.125" style="1" customWidth="1"/>
    <col min="4094" max="4094" width="10.625" style="1" customWidth="1"/>
    <col min="4095" max="4095" width="18.125" style="1" customWidth="1"/>
    <col min="4325" max="4325" width="24.625" style="1" customWidth="1"/>
    <col min="4326" max="4326" width="12.625" style="1" customWidth="1"/>
    <col min="4327" max="4327" width="12.375" style="1" customWidth="1"/>
    <col min="4328" max="4328" width="19.625" style="1" customWidth="1"/>
    <col min="4329" max="4329" width="17.125" style="1" customWidth="1"/>
    <col min="4330" max="4330" width="18.625" style="1" customWidth="1"/>
    <col min="4331" max="4331" width="14.875" style="1" customWidth="1"/>
    <col min="4332" max="4332" width="20.5" style="1" customWidth="1"/>
    <col min="4333" max="4333" width="29.625" style="1" customWidth="1"/>
    <col min="4334" max="4334" width="16.875" style="1" customWidth="1"/>
    <col min="4335" max="4335" width="11.625" style="1" customWidth="1"/>
    <col min="4336" max="4336" width="18" style="1" customWidth="1"/>
    <col min="4337" max="4337" width="15.125" style="1" customWidth="1"/>
    <col min="4338" max="4338" width="12.125" style="1" customWidth="1"/>
    <col min="4346" max="4346" width="11.625" style="1" customWidth="1"/>
    <col min="4347" max="4347" width="6.125" style="1" customWidth="1"/>
    <col min="4349" max="4349" width="6.125" style="1" customWidth="1"/>
    <col min="4350" max="4350" width="10.625" style="1" customWidth="1"/>
    <col min="4351" max="4351" width="18.125" style="1" customWidth="1"/>
    <col min="4581" max="4581" width="24.625" style="1" customWidth="1"/>
    <col min="4582" max="4582" width="12.625" style="1" customWidth="1"/>
    <col min="4583" max="4583" width="12.375" style="1" customWidth="1"/>
    <col min="4584" max="4584" width="19.625" style="1" customWidth="1"/>
    <col min="4585" max="4585" width="17.125" style="1" customWidth="1"/>
    <col min="4586" max="4586" width="18.625" style="1" customWidth="1"/>
    <col min="4587" max="4587" width="14.875" style="1" customWidth="1"/>
    <col min="4588" max="4588" width="20.5" style="1" customWidth="1"/>
    <col min="4589" max="4589" width="29.625" style="1" customWidth="1"/>
    <col min="4590" max="4590" width="16.875" style="1" customWidth="1"/>
    <col min="4591" max="4591" width="11.625" style="1" customWidth="1"/>
    <col min="4592" max="4592" width="18" style="1" customWidth="1"/>
    <col min="4593" max="4593" width="15.125" style="1" customWidth="1"/>
    <col min="4594" max="4594" width="12.125" style="1" customWidth="1"/>
    <col min="4602" max="4602" width="11.625" style="1" customWidth="1"/>
    <col min="4603" max="4603" width="6.125" style="1" customWidth="1"/>
    <col min="4605" max="4605" width="6.125" style="1" customWidth="1"/>
    <col min="4606" max="4606" width="10.625" style="1" customWidth="1"/>
    <col min="4607" max="4607" width="18.125" style="1" customWidth="1"/>
    <col min="4837" max="4837" width="24.625" style="1" customWidth="1"/>
    <col min="4838" max="4838" width="12.625" style="1" customWidth="1"/>
    <col min="4839" max="4839" width="12.375" style="1" customWidth="1"/>
    <col min="4840" max="4840" width="19.625" style="1" customWidth="1"/>
    <col min="4841" max="4841" width="17.125" style="1" customWidth="1"/>
    <col min="4842" max="4842" width="18.625" style="1" customWidth="1"/>
    <col min="4843" max="4843" width="14.875" style="1" customWidth="1"/>
    <col min="4844" max="4844" width="20.5" style="1" customWidth="1"/>
    <col min="4845" max="4845" width="29.625" style="1" customWidth="1"/>
    <col min="4846" max="4846" width="16.875" style="1" customWidth="1"/>
    <col min="4847" max="4847" width="11.625" style="1" customWidth="1"/>
    <col min="4848" max="4848" width="18" style="1" customWidth="1"/>
    <col min="4849" max="4849" width="15.125" style="1" customWidth="1"/>
    <col min="4850" max="4850" width="12.125" style="1" customWidth="1"/>
    <col min="4858" max="4858" width="11.625" style="1" customWidth="1"/>
    <col min="4859" max="4859" width="6.125" style="1" customWidth="1"/>
    <col min="4861" max="4861" width="6.125" style="1" customWidth="1"/>
    <col min="4862" max="4862" width="10.625" style="1" customWidth="1"/>
    <col min="4863" max="4863" width="18.125" style="1" customWidth="1"/>
    <col min="5093" max="5093" width="24.625" style="1" customWidth="1"/>
    <col min="5094" max="5094" width="12.625" style="1" customWidth="1"/>
    <col min="5095" max="5095" width="12.375" style="1" customWidth="1"/>
    <col min="5096" max="5096" width="19.625" style="1" customWidth="1"/>
    <col min="5097" max="5097" width="17.125" style="1" customWidth="1"/>
    <col min="5098" max="5098" width="18.625" style="1" customWidth="1"/>
    <col min="5099" max="5099" width="14.875" style="1" customWidth="1"/>
    <col min="5100" max="5100" width="20.5" style="1" customWidth="1"/>
    <col min="5101" max="5101" width="29.625" style="1" customWidth="1"/>
    <col min="5102" max="5102" width="16.875" style="1" customWidth="1"/>
    <col min="5103" max="5103" width="11.625" style="1" customWidth="1"/>
    <col min="5104" max="5104" width="18" style="1" customWidth="1"/>
    <col min="5105" max="5105" width="15.125" style="1" customWidth="1"/>
    <col min="5106" max="5106" width="12.125" style="1" customWidth="1"/>
    <col min="5114" max="5114" width="11.625" style="1" customWidth="1"/>
    <col min="5115" max="5115" width="6.125" style="1" customWidth="1"/>
    <col min="5117" max="5117" width="6.125" style="1" customWidth="1"/>
    <col min="5118" max="5118" width="10.625" style="1" customWidth="1"/>
    <col min="5119" max="5119" width="18.125" style="1" customWidth="1"/>
    <col min="5349" max="5349" width="24.625" style="1" customWidth="1"/>
    <col min="5350" max="5350" width="12.625" style="1" customWidth="1"/>
    <col min="5351" max="5351" width="12.375" style="1" customWidth="1"/>
    <col min="5352" max="5352" width="19.625" style="1" customWidth="1"/>
    <col min="5353" max="5353" width="17.125" style="1" customWidth="1"/>
    <col min="5354" max="5354" width="18.625" style="1" customWidth="1"/>
    <col min="5355" max="5355" width="14.875" style="1" customWidth="1"/>
    <col min="5356" max="5356" width="20.5" style="1" customWidth="1"/>
    <col min="5357" max="5357" width="29.625" style="1" customWidth="1"/>
    <col min="5358" max="5358" width="16.875" style="1" customWidth="1"/>
    <col min="5359" max="5359" width="11.625" style="1" customWidth="1"/>
    <col min="5360" max="5360" width="18" style="1" customWidth="1"/>
    <col min="5361" max="5361" width="15.125" style="1" customWidth="1"/>
    <col min="5362" max="5362" width="12.125" style="1" customWidth="1"/>
    <col min="5370" max="5370" width="11.625" style="1" customWidth="1"/>
    <col min="5371" max="5371" width="6.125" style="1" customWidth="1"/>
    <col min="5373" max="5373" width="6.125" style="1" customWidth="1"/>
    <col min="5374" max="5374" width="10.625" style="1" customWidth="1"/>
    <col min="5375" max="5375" width="18.125" style="1" customWidth="1"/>
    <col min="5605" max="5605" width="24.625" style="1" customWidth="1"/>
    <col min="5606" max="5606" width="12.625" style="1" customWidth="1"/>
    <col min="5607" max="5607" width="12.375" style="1" customWidth="1"/>
    <col min="5608" max="5608" width="19.625" style="1" customWidth="1"/>
    <col min="5609" max="5609" width="17.125" style="1" customWidth="1"/>
    <col min="5610" max="5610" width="18.625" style="1" customWidth="1"/>
    <col min="5611" max="5611" width="14.875" style="1" customWidth="1"/>
    <col min="5612" max="5612" width="20.5" style="1" customWidth="1"/>
    <col min="5613" max="5613" width="29.625" style="1" customWidth="1"/>
    <col min="5614" max="5614" width="16.875" style="1" customWidth="1"/>
    <col min="5615" max="5615" width="11.625" style="1" customWidth="1"/>
    <col min="5616" max="5616" width="18" style="1" customWidth="1"/>
    <col min="5617" max="5617" width="15.125" style="1" customWidth="1"/>
    <col min="5618" max="5618" width="12.125" style="1" customWidth="1"/>
    <col min="5626" max="5626" width="11.625" style="1" customWidth="1"/>
    <col min="5627" max="5627" width="6.125" style="1" customWidth="1"/>
    <col min="5629" max="5629" width="6.125" style="1" customWidth="1"/>
    <col min="5630" max="5630" width="10.625" style="1" customWidth="1"/>
    <col min="5631" max="5631" width="18.125" style="1" customWidth="1"/>
    <col min="5861" max="5861" width="24.625" style="1" customWidth="1"/>
    <col min="5862" max="5862" width="12.625" style="1" customWidth="1"/>
    <col min="5863" max="5863" width="12.375" style="1" customWidth="1"/>
    <col min="5864" max="5864" width="19.625" style="1" customWidth="1"/>
    <col min="5865" max="5865" width="17.125" style="1" customWidth="1"/>
    <col min="5866" max="5866" width="18.625" style="1" customWidth="1"/>
    <col min="5867" max="5867" width="14.875" style="1" customWidth="1"/>
    <col min="5868" max="5868" width="20.5" style="1" customWidth="1"/>
    <col min="5869" max="5869" width="29.625" style="1" customWidth="1"/>
    <col min="5870" max="5870" width="16.875" style="1" customWidth="1"/>
    <col min="5871" max="5871" width="11.625" style="1" customWidth="1"/>
    <col min="5872" max="5872" width="18" style="1" customWidth="1"/>
    <col min="5873" max="5873" width="15.125" style="1" customWidth="1"/>
    <col min="5874" max="5874" width="12.125" style="1" customWidth="1"/>
    <col min="5882" max="5882" width="11.625" style="1" customWidth="1"/>
    <col min="5883" max="5883" width="6.125" style="1" customWidth="1"/>
    <col min="5885" max="5885" width="6.125" style="1" customWidth="1"/>
    <col min="5886" max="5886" width="10.625" style="1" customWidth="1"/>
    <col min="5887" max="5887" width="18.125" style="1" customWidth="1"/>
    <col min="6117" max="6117" width="24.625" style="1" customWidth="1"/>
    <col min="6118" max="6118" width="12.625" style="1" customWidth="1"/>
    <col min="6119" max="6119" width="12.375" style="1" customWidth="1"/>
    <col min="6120" max="6120" width="19.625" style="1" customWidth="1"/>
    <col min="6121" max="6121" width="17.125" style="1" customWidth="1"/>
    <col min="6122" max="6122" width="18.625" style="1" customWidth="1"/>
    <col min="6123" max="6123" width="14.875" style="1" customWidth="1"/>
    <col min="6124" max="6124" width="20.5" style="1" customWidth="1"/>
    <col min="6125" max="6125" width="29.625" style="1" customWidth="1"/>
    <col min="6126" max="6126" width="16.875" style="1" customWidth="1"/>
    <col min="6127" max="6127" width="11.625" style="1" customWidth="1"/>
    <col min="6128" max="6128" width="18" style="1" customWidth="1"/>
    <col min="6129" max="6129" width="15.125" style="1" customWidth="1"/>
    <col min="6130" max="6130" width="12.125" style="1" customWidth="1"/>
    <col min="6138" max="6138" width="11.625" style="1" customWidth="1"/>
    <col min="6139" max="6139" width="6.125" style="1" customWidth="1"/>
    <col min="6141" max="6141" width="6.125" style="1" customWidth="1"/>
    <col min="6142" max="6142" width="10.625" style="1" customWidth="1"/>
    <col min="6143" max="6143" width="18.125" style="1" customWidth="1"/>
    <col min="6373" max="6373" width="24.625" style="1" customWidth="1"/>
    <col min="6374" max="6374" width="12.625" style="1" customWidth="1"/>
    <col min="6375" max="6375" width="12.375" style="1" customWidth="1"/>
    <col min="6376" max="6376" width="19.625" style="1" customWidth="1"/>
    <col min="6377" max="6377" width="17.125" style="1" customWidth="1"/>
    <col min="6378" max="6378" width="18.625" style="1" customWidth="1"/>
    <col min="6379" max="6379" width="14.875" style="1" customWidth="1"/>
    <col min="6380" max="6380" width="20.5" style="1" customWidth="1"/>
    <col min="6381" max="6381" width="29.625" style="1" customWidth="1"/>
    <col min="6382" max="6382" width="16.875" style="1" customWidth="1"/>
    <col min="6383" max="6383" width="11.625" style="1" customWidth="1"/>
    <col min="6384" max="6384" width="18" style="1" customWidth="1"/>
    <col min="6385" max="6385" width="15.125" style="1" customWidth="1"/>
    <col min="6386" max="6386" width="12.125" style="1" customWidth="1"/>
    <col min="6394" max="6394" width="11.625" style="1" customWidth="1"/>
    <col min="6395" max="6395" width="6.125" style="1" customWidth="1"/>
    <col min="6397" max="6397" width="6.125" style="1" customWidth="1"/>
    <col min="6398" max="6398" width="10.625" style="1" customWidth="1"/>
    <col min="6399" max="6399" width="18.125" style="1" customWidth="1"/>
    <col min="6629" max="6629" width="24.625" style="1" customWidth="1"/>
    <col min="6630" max="6630" width="12.625" style="1" customWidth="1"/>
    <col min="6631" max="6631" width="12.375" style="1" customWidth="1"/>
    <col min="6632" max="6632" width="19.625" style="1" customWidth="1"/>
    <col min="6633" max="6633" width="17.125" style="1" customWidth="1"/>
    <col min="6634" max="6634" width="18.625" style="1" customWidth="1"/>
    <col min="6635" max="6635" width="14.875" style="1" customWidth="1"/>
    <col min="6636" max="6636" width="20.5" style="1" customWidth="1"/>
    <col min="6637" max="6637" width="29.625" style="1" customWidth="1"/>
    <col min="6638" max="6638" width="16.875" style="1" customWidth="1"/>
    <col min="6639" max="6639" width="11.625" style="1" customWidth="1"/>
    <col min="6640" max="6640" width="18" style="1" customWidth="1"/>
    <col min="6641" max="6641" width="15.125" style="1" customWidth="1"/>
    <col min="6642" max="6642" width="12.125" style="1" customWidth="1"/>
    <col min="6650" max="6650" width="11.625" style="1" customWidth="1"/>
    <col min="6651" max="6651" width="6.125" style="1" customWidth="1"/>
    <col min="6653" max="6653" width="6.125" style="1" customWidth="1"/>
    <col min="6654" max="6654" width="10.625" style="1" customWidth="1"/>
    <col min="6655" max="6655" width="18.125" style="1" customWidth="1"/>
    <col min="6885" max="6885" width="24.625" style="1" customWidth="1"/>
    <col min="6886" max="6886" width="12.625" style="1" customWidth="1"/>
    <col min="6887" max="6887" width="12.375" style="1" customWidth="1"/>
    <col min="6888" max="6888" width="19.625" style="1" customWidth="1"/>
    <col min="6889" max="6889" width="17.125" style="1" customWidth="1"/>
    <col min="6890" max="6890" width="18.625" style="1" customWidth="1"/>
    <col min="6891" max="6891" width="14.875" style="1" customWidth="1"/>
    <col min="6892" max="6892" width="20.5" style="1" customWidth="1"/>
    <col min="6893" max="6893" width="29.625" style="1" customWidth="1"/>
    <col min="6894" max="6894" width="16.875" style="1" customWidth="1"/>
    <col min="6895" max="6895" width="11.625" style="1" customWidth="1"/>
    <col min="6896" max="6896" width="18" style="1" customWidth="1"/>
    <col min="6897" max="6897" width="15.125" style="1" customWidth="1"/>
    <col min="6898" max="6898" width="12.125" style="1" customWidth="1"/>
    <col min="6906" max="6906" width="11.625" style="1" customWidth="1"/>
    <col min="6907" max="6907" width="6.125" style="1" customWidth="1"/>
    <col min="6909" max="6909" width="6.125" style="1" customWidth="1"/>
    <col min="6910" max="6910" width="10.625" style="1" customWidth="1"/>
    <col min="6911" max="6911" width="18.125" style="1" customWidth="1"/>
    <col min="7141" max="7141" width="24.625" style="1" customWidth="1"/>
    <col min="7142" max="7142" width="12.625" style="1" customWidth="1"/>
    <col min="7143" max="7143" width="12.375" style="1" customWidth="1"/>
    <col min="7144" max="7144" width="19.625" style="1" customWidth="1"/>
    <col min="7145" max="7145" width="17.125" style="1" customWidth="1"/>
    <col min="7146" max="7146" width="18.625" style="1" customWidth="1"/>
    <col min="7147" max="7147" width="14.875" style="1" customWidth="1"/>
    <col min="7148" max="7148" width="20.5" style="1" customWidth="1"/>
    <col min="7149" max="7149" width="29.625" style="1" customWidth="1"/>
    <col min="7150" max="7150" width="16.875" style="1" customWidth="1"/>
    <col min="7151" max="7151" width="11.625" style="1" customWidth="1"/>
    <col min="7152" max="7152" width="18" style="1" customWidth="1"/>
    <col min="7153" max="7153" width="15.125" style="1" customWidth="1"/>
    <col min="7154" max="7154" width="12.125" style="1" customWidth="1"/>
    <col min="7162" max="7162" width="11.625" style="1" customWidth="1"/>
    <col min="7163" max="7163" width="6.125" style="1" customWidth="1"/>
    <col min="7165" max="7165" width="6.125" style="1" customWidth="1"/>
    <col min="7166" max="7166" width="10.625" style="1" customWidth="1"/>
    <col min="7167" max="7167" width="18.125" style="1" customWidth="1"/>
    <col min="7397" max="7397" width="24.625" style="1" customWidth="1"/>
    <col min="7398" max="7398" width="12.625" style="1" customWidth="1"/>
    <col min="7399" max="7399" width="12.375" style="1" customWidth="1"/>
    <col min="7400" max="7400" width="19.625" style="1" customWidth="1"/>
    <col min="7401" max="7401" width="17.125" style="1" customWidth="1"/>
    <col min="7402" max="7402" width="18.625" style="1" customWidth="1"/>
    <col min="7403" max="7403" width="14.875" style="1" customWidth="1"/>
    <col min="7404" max="7404" width="20.5" style="1" customWidth="1"/>
    <col min="7405" max="7405" width="29.625" style="1" customWidth="1"/>
    <col min="7406" max="7406" width="16.875" style="1" customWidth="1"/>
    <col min="7407" max="7407" width="11.625" style="1" customWidth="1"/>
    <col min="7408" max="7408" width="18" style="1" customWidth="1"/>
    <col min="7409" max="7409" width="15.125" style="1" customWidth="1"/>
    <col min="7410" max="7410" width="12.125" style="1" customWidth="1"/>
    <col min="7418" max="7418" width="11.625" style="1" customWidth="1"/>
    <col min="7419" max="7419" width="6.125" style="1" customWidth="1"/>
    <col min="7421" max="7421" width="6.125" style="1" customWidth="1"/>
    <col min="7422" max="7422" width="10.625" style="1" customWidth="1"/>
    <col min="7423" max="7423" width="18.125" style="1" customWidth="1"/>
    <col min="7653" max="7653" width="24.625" style="1" customWidth="1"/>
    <col min="7654" max="7654" width="12.625" style="1" customWidth="1"/>
    <col min="7655" max="7655" width="12.375" style="1" customWidth="1"/>
    <col min="7656" max="7656" width="19.625" style="1" customWidth="1"/>
    <col min="7657" max="7657" width="17.125" style="1" customWidth="1"/>
    <col min="7658" max="7658" width="18.625" style="1" customWidth="1"/>
    <col min="7659" max="7659" width="14.875" style="1" customWidth="1"/>
    <col min="7660" max="7660" width="20.5" style="1" customWidth="1"/>
    <col min="7661" max="7661" width="29.625" style="1" customWidth="1"/>
    <col min="7662" max="7662" width="16.875" style="1" customWidth="1"/>
    <col min="7663" max="7663" width="11.625" style="1" customWidth="1"/>
    <col min="7664" max="7664" width="18" style="1" customWidth="1"/>
    <col min="7665" max="7665" width="15.125" style="1" customWidth="1"/>
    <col min="7666" max="7666" width="12.125" style="1" customWidth="1"/>
    <col min="7674" max="7674" width="11.625" style="1" customWidth="1"/>
    <col min="7675" max="7675" width="6.125" style="1" customWidth="1"/>
    <col min="7677" max="7677" width="6.125" style="1" customWidth="1"/>
    <col min="7678" max="7678" width="10.625" style="1" customWidth="1"/>
    <col min="7679" max="7679" width="18.125" style="1" customWidth="1"/>
    <col min="7909" max="7909" width="24.625" style="1" customWidth="1"/>
    <col min="7910" max="7910" width="12.625" style="1" customWidth="1"/>
    <col min="7911" max="7911" width="12.375" style="1" customWidth="1"/>
    <col min="7912" max="7912" width="19.625" style="1" customWidth="1"/>
    <col min="7913" max="7913" width="17.125" style="1" customWidth="1"/>
    <col min="7914" max="7914" width="18.625" style="1" customWidth="1"/>
    <col min="7915" max="7915" width="14.875" style="1" customWidth="1"/>
    <col min="7916" max="7916" width="20.5" style="1" customWidth="1"/>
    <col min="7917" max="7917" width="29.625" style="1" customWidth="1"/>
    <col min="7918" max="7918" width="16.875" style="1" customWidth="1"/>
    <col min="7919" max="7919" width="11.625" style="1" customWidth="1"/>
    <col min="7920" max="7920" width="18" style="1" customWidth="1"/>
    <col min="7921" max="7921" width="15.125" style="1" customWidth="1"/>
    <col min="7922" max="7922" width="12.125" style="1" customWidth="1"/>
    <col min="7930" max="7930" width="11.625" style="1" customWidth="1"/>
    <col min="7931" max="7931" width="6.125" style="1" customWidth="1"/>
    <col min="7933" max="7933" width="6.125" style="1" customWidth="1"/>
    <col min="7934" max="7934" width="10.625" style="1" customWidth="1"/>
    <col min="7935" max="7935" width="18.125" style="1" customWidth="1"/>
    <col min="8165" max="8165" width="24.625" style="1" customWidth="1"/>
    <col min="8166" max="8166" width="12.625" style="1" customWidth="1"/>
    <col min="8167" max="8167" width="12.375" style="1" customWidth="1"/>
    <col min="8168" max="8168" width="19.625" style="1" customWidth="1"/>
    <col min="8169" max="8169" width="17.125" style="1" customWidth="1"/>
    <col min="8170" max="8170" width="18.625" style="1" customWidth="1"/>
    <col min="8171" max="8171" width="14.875" style="1" customWidth="1"/>
    <col min="8172" max="8172" width="20.5" style="1" customWidth="1"/>
    <col min="8173" max="8173" width="29.625" style="1" customWidth="1"/>
    <col min="8174" max="8174" width="16.875" style="1" customWidth="1"/>
    <col min="8175" max="8175" width="11.625" style="1" customWidth="1"/>
    <col min="8176" max="8176" width="18" style="1" customWidth="1"/>
    <col min="8177" max="8177" width="15.125" style="1" customWidth="1"/>
    <col min="8178" max="8178" width="12.125" style="1" customWidth="1"/>
    <col min="8186" max="8186" width="11.625" style="1" customWidth="1"/>
    <col min="8187" max="8187" width="6.125" style="1" customWidth="1"/>
    <col min="8189" max="8189" width="6.125" style="1" customWidth="1"/>
    <col min="8190" max="8190" width="10.625" style="1" customWidth="1"/>
    <col min="8191" max="8191" width="18.125" style="1" customWidth="1"/>
    <col min="8421" max="8421" width="24.625" style="1" customWidth="1"/>
    <col min="8422" max="8422" width="12.625" style="1" customWidth="1"/>
    <col min="8423" max="8423" width="12.375" style="1" customWidth="1"/>
    <col min="8424" max="8424" width="19.625" style="1" customWidth="1"/>
    <col min="8425" max="8425" width="17.125" style="1" customWidth="1"/>
    <col min="8426" max="8426" width="18.625" style="1" customWidth="1"/>
    <col min="8427" max="8427" width="14.875" style="1" customWidth="1"/>
    <col min="8428" max="8428" width="20.5" style="1" customWidth="1"/>
    <col min="8429" max="8429" width="29.625" style="1" customWidth="1"/>
    <col min="8430" max="8430" width="16.875" style="1" customWidth="1"/>
    <col min="8431" max="8431" width="11.625" style="1" customWidth="1"/>
    <col min="8432" max="8432" width="18" style="1" customWidth="1"/>
    <col min="8433" max="8433" width="15.125" style="1" customWidth="1"/>
    <col min="8434" max="8434" width="12.125" style="1" customWidth="1"/>
    <col min="8442" max="8442" width="11.625" style="1" customWidth="1"/>
    <col min="8443" max="8443" width="6.125" style="1" customWidth="1"/>
    <col min="8445" max="8445" width="6.125" style="1" customWidth="1"/>
    <col min="8446" max="8446" width="10.625" style="1" customWidth="1"/>
    <col min="8447" max="8447" width="18.125" style="1" customWidth="1"/>
    <col min="8677" max="8677" width="24.625" style="1" customWidth="1"/>
    <col min="8678" max="8678" width="12.625" style="1" customWidth="1"/>
    <col min="8679" max="8679" width="12.375" style="1" customWidth="1"/>
    <col min="8680" max="8680" width="19.625" style="1" customWidth="1"/>
    <col min="8681" max="8681" width="17.125" style="1" customWidth="1"/>
    <col min="8682" max="8682" width="18.625" style="1" customWidth="1"/>
    <col min="8683" max="8683" width="14.875" style="1" customWidth="1"/>
    <col min="8684" max="8684" width="20.5" style="1" customWidth="1"/>
    <col min="8685" max="8685" width="29.625" style="1" customWidth="1"/>
    <col min="8686" max="8686" width="16.875" style="1" customWidth="1"/>
    <col min="8687" max="8687" width="11.625" style="1" customWidth="1"/>
    <col min="8688" max="8688" width="18" style="1" customWidth="1"/>
    <col min="8689" max="8689" width="15.125" style="1" customWidth="1"/>
    <col min="8690" max="8690" width="12.125" style="1" customWidth="1"/>
    <col min="8698" max="8698" width="11.625" style="1" customWidth="1"/>
    <col min="8699" max="8699" width="6.125" style="1" customWidth="1"/>
    <col min="8701" max="8701" width="6.125" style="1" customWidth="1"/>
    <col min="8702" max="8702" width="10.625" style="1" customWidth="1"/>
    <col min="8703" max="8703" width="18.125" style="1" customWidth="1"/>
    <col min="8933" max="8933" width="24.625" style="1" customWidth="1"/>
    <col min="8934" max="8934" width="12.625" style="1" customWidth="1"/>
    <col min="8935" max="8935" width="12.375" style="1" customWidth="1"/>
    <col min="8936" max="8936" width="19.625" style="1" customWidth="1"/>
    <col min="8937" max="8937" width="17.125" style="1" customWidth="1"/>
    <col min="8938" max="8938" width="18.625" style="1" customWidth="1"/>
    <col min="8939" max="8939" width="14.875" style="1" customWidth="1"/>
    <col min="8940" max="8940" width="20.5" style="1" customWidth="1"/>
    <col min="8941" max="8941" width="29.625" style="1" customWidth="1"/>
    <col min="8942" max="8942" width="16.875" style="1" customWidth="1"/>
    <col min="8943" max="8943" width="11.625" style="1" customWidth="1"/>
    <col min="8944" max="8944" width="18" style="1" customWidth="1"/>
    <col min="8945" max="8945" width="15.125" style="1" customWidth="1"/>
    <col min="8946" max="8946" width="12.125" style="1" customWidth="1"/>
    <col min="8954" max="8954" width="11.625" style="1" customWidth="1"/>
    <col min="8955" max="8955" width="6.125" style="1" customWidth="1"/>
    <col min="8957" max="8957" width="6.125" style="1" customWidth="1"/>
    <col min="8958" max="8958" width="10.625" style="1" customWidth="1"/>
    <col min="8959" max="8959" width="18.125" style="1" customWidth="1"/>
    <col min="9189" max="9189" width="24.625" style="1" customWidth="1"/>
    <col min="9190" max="9190" width="12.625" style="1" customWidth="1"/>
    <col min="9191" max="9191" width="12.375" style="1" customWidth="1"/>
    <col min="9192" max="9192" width="19.625" style="1" customWidth="1"/>
    <col min="9193" max="9193" width="17.125" style="1" customWidth="1"/>
    <col min="9194" max="9194" width="18.625" style="1" customWidth="1"/>
    <col min="9195" max="9195" width="14.875" style="1" customWidth="1"/>
    <col min="9196" max="9196" width="20.5" style="1" customWidth="1"/>
    <col min="9197" max="9197" width="29.625" style="1" customWidth="1"/>
    <col min="9198" max="9198" width="16.875" style="1" customWidth="1"/>
    <col min="9199" max="9199" width="11.625" style="1" customWidth="1"/>
    <col min="9200" max="9200" width="18" style="1" customWidth="1"/>
    <col min="9201" max="9201" width="15.125" style="1" customWidth="1"/>
    <col min="9202" max="9202" width="12.125" style="1" customWidth="1"/>
    <col min="9210" max="9210" width="11.625" style="1" customWidth="1"/>
    <col min="9211" max="9211" width="6.125" style="1" customWidth="1"/>
    <col min="9213" max="9213" width="6.125" style="1" customWidth="1"/>
    <col min="9214" max="9214" width="10.625" style="1" customWidth="1"/>
    <col min="9215" max="9215" width="18.125" style="1" customWidth="1"/>
    <col min="9445" max="9445" width="24.625" style="1" customWidth="1"/>
    <col min="9446" max="9446" width="12.625" style="1" customWidth="1"/>
    <col min="9447" max="9447" width="12.375" style="1" customWidth="1"/>
    <col min="9448" max="9448" width="19.625" style="1" customWidth="1"/>
    <col min="9449" max="9449" width="17.125" style="1" customWidth="1"/>
    <col min="9450" max="9450" width="18.625" style="1" customWidth="1"/>
    <col min="9451" max="9451" width="14.875" style="1" customWidth="1"/>
    <col min="9452" max="9452" width="20.5" style="1" customWidth="1"/>
    <col min="9453" max="9453" width="29.625" style="1" customWidth="1"/>
    <col min="9454" max="9454" width="16.875" style="1" customWidth="1"/>
    <col min="9455" max="9455" width="11.625" style="1" customWidth="1"/>
    <col min="9456" max="9456" width="18" style="1" customWidth="1"/>
    <col min="9457" max="9457" width="15.125" style="1" customWidth="1"/>
    <col min="9458" max="9458" width="12.125" style="1" customWidth="1"/>
    <col min="9466" max="9466" width="11.625" style="1" customWidth="1"/>
    <col min="9467" max="9467" width="6.125" style="1" customWidth="1"/>
    <col min="9469" max="9469" width="6.125" style="1" customWidth="1"/>
    <col min="9470" max="9470" width="10.625" style="1" customWidth="1"/>
    <col min="9471" max="9471" width="18.125" style="1" customWidth="1"/>
    <col min="9701" max="9701" width="24.625" style="1" customWidth="1"/>
    <col min="9702" max="9702" width="12.625" style="1" customWidth="1"/>
    <col min="9703" max="9703" width="12.375" style="1" customWidth="1"/>
    <col min="9704" max="9704" width="19.625" style="1" customWidth="1"/>
    <col min="9705" max="9705" width="17.125" style="1" customWidth="1"/>
    <col min="9706" max="9706" width="18.625" style="1" customWidth="1"/>
    <col min="9707" max="9707" width="14.875" style="1" customWidth="1"/>
    <col min="9708" max="9708" width="20.5" style="1" customWidth="1"/>
    <col min="9709" max="9709" width="29.625" style="1" customWidth="1"/>
    <col min="9710" max="9710" width="16.875" style="1" customWidth="1"/>
    <col min="9711" max="9711" width="11.625" style="1" customWidth="1"/>
    <col min="9712" max="9712" width="18" style="1" customWidth="1"/>
    <col min="9713" max="9713" width="15.125" style="1" customWidth="1"/>
    <col min="9714" max="9714" width="12.125" style="1" customWidth="1"/>
    <col min="9722" max="9722" width="11.625" style="1" customWidth="1"/>
    <col min="9723" max="9723" width="6.125" style="1" customWidth="1"/>
    <col min="9725" max="9725" width="6.125" style="1" customWidth="1"/>
    <col min="9726" max="9726" width="10.625" style="1" customWidth="1"/>
    <col min="9727" max="9727" width="18.125" style="1" customWidth="1"/>
    <col min="9957" max="9957" width="24.625" style="1" customWidth="1"/>
    <col min="9958" max="9958" width="12.625" style="1" customWidth="1"/>
    <col min="9959" max="9959" width="12.375" style="1" customWidth="1"/>
    <col min="9960" max="9960" width="19.625" style="1" customWidth="1"/>
    <col min="9961" max="9961" width="17.125" style="1" customWidth="1"/>
    <col min="9962" max="9962" width="18.625" style="1" customWidth="1"/>
    <col min="9963" max="9963" width="14.875" style="1" customWidth="1"/>
    <col min="9964" max="9964" width="20.5" style="1" customWidth="1"/>
    <col min="9965" max="9965" width="29.625" style="1" customWidth="1"/>
    <col min="9966" max="9966" width="16.875" style="1" customWidth="1"/>
    <col min="9967" max="9967" width="11.625" style="1" customWidth="1"/>
    <col min="9968" max="9968" width="18" style="1" customWidth="1"/>
    <col min="9969" max="9969" width="15.125" style="1" customWidth="1"/>
    <col min="9970" max="9970" width="12.125" style="1" customWidth="1"/>
    <col min="9978" max="9978" width="11.625" style="1" customWidth="1"/>
    <col min="9979" max="9979" width="6.125" style="1" customWidth="1"/>
    <col min="9981" max="9981" width="6.125" style="1" customWidth="1"/>
    <col min="9982" max="9982" width="10.625" style="1" customWidth="1"/>
    <col min="9983" max="9983" width="18.125" style="1" customWidth="1"/>
    <col min="10213" max="10213" width="24.625" style="1" customWidth="1"/>
    <col min="10214" max="10214" width="12.625" style="1" customWidth="1"/>
    <col min="10215" max="10215" width="12.375" style="1" customWidth="1"/>
    <col min="10216" max="10216" width="19.625" style="1" customWidth="1"/>
    <col min="10217" max="10217" width="17.125" style="1" customWidth="1"/>
    <col min="10218" max="10218" width="18.625" style="1" customWidth="1"/>
    <col min="10219" max="10219" width="14.875" style="1" customWidth="1"/>
    <col min="10220" max="10220" width="20.5" style="1" customWidth="1"/>
    <col min="10221" max="10221" width="29.625" style="1" customWidth="1"/>
    <col min="10222" max="10222" width="16.875" style="1" customWidth="1"/>
    <col min="10223" max="10223" width="11.625" style="1" customWidth="1"/>
    <col min="10224" max="10224" width="18" style="1" customWidth="1"/>
    <col min="10225" max="10225" width="15.125" style="1" customWidth="1"/>
    <col min="10226" max="10226" width="12.125" style="1" customWidth="1"/>
    <col min="10234" max="10234" width="11.625" style="1" customWidth="1"/>
    <col min="10235" max="10235" width="6.125" style="1" customWidth="1"/>
    <col min="10237" max="10237" width="6.125" style="1" customWidth="1"/>
    <col min="10238" max="10238" width="10.625" style="1" customWidth="1"/>
    <col min="10239" max="10239" width="18.125" style="1" customWidth="1"/>
    <col min="10469" max="10469" width="24.625" style="1" customWidth="1"/>
    <col min="10470" max="10470" width="12.625" style="1" customWidth="1"/>
    <col min="10471" max="10471" width="12.375" style="1" customWidth="1"/>
    <col min="10472" max="10472" width="19.625" style="1" customWidth="1"/>
    <col min="10473" max="10473" width="17.125" style="1" customWidth="1"/>
    <col min="10474" max="10474" width="18.625" style="1" customWidth="1"/>
    <col min="10475" max="10475" width="14.875" style="1" customWidth="1"/>
    <col min="10476" max="10476" width="20.5" style="1" customWidth="1"/>
    <col min="10477" max="10477" width="29.625" style="1" customWidth="1"/>
    <col min="10478" max="10478" width="16.875" style="1" customWidth="1"/>
    <col min="10479" max="10479" width="11.625" style="1" customWidth="1"/>
    <col min="10480" max="10480" width="18" style="1" customWidth="1"/>
    <col min="10481" max="10481" width="15.125" style="1" customWidth="1"/>
    <col min="10482" max="10482" width="12.125" style="1" customWidth="1"/>
    <col min="10490" max="10490" width="11.625" style="1" customWidth="1"/>
    <col min="10491" max="10491" width="6.125" style="1" customWidth="1"/>
    <col min="10493" max="10493" width="6.125" style="1" customWidth="1"/>
    <col min="10494" max="10494" width="10.625" style="1" customWidth="1"/>
    <col min="10495" max="10495" width="18.125" style="1" customWidth="1"/>
    <col min="10725" max="10725" width="24.625" style="1" customWidth="1"/>
    <col min="10726" max="10726" width="12.625" style="1" customWidth="1"/>
    <col min="10727" max="10727" width="12.375" style="1" customWidth="1"/>
    <col min="10728" max="10728" width="19.625" style="1" customWidth="1"/>
    <col min="10729" max="10729" width="17.125" style="1" customWidth="1"/>
    <col min="10730" max="10730" width="18.625" style="1" customWidth="1"/>
    <col min="10731" max="10731" width="14.875" style="1" customWidth="1"/>
    <col min="10732" max="10732" width="20.5" style="1" customWidth="1"/>
    <col min="10733" max="10733" width="29.625" style="1" customWidth="1"/>
    <col min="10734" max="10734" width="16.875" style="1" customWidth="1"/>
    <col min="10735" max="10735" width="11.625" style="1" customWidth="1"/>
    <col min="10736" max="10736" width="18" style="1" customWidth="1"/>
    <col min="10737" max="10737" width="15.125" style="1" customWidth="1"/>
    <col min="10738" max="10738" width="12.125" style="1" customWidth="1"/>
    <col min="10746" max="10746" width="11.625" style="1" customWidth="1"/>
    <col min="10747" max="10747" width="6.125" style="1" customWidth="1"/>
    <col min="10749" max="10749" width="6.125" style="1" customWidth="1"/>
    <col min="10750" max="10750" width="10.625" style="1" customWidth="1"/>
    <col min="10751" max="10751" width="18.125" style="1" customWidth="1"/>
    <col min="10981" max="10981" width="24.625" style="1" customWidth="1"/>
    <col min="10982" max="10982" width="12.625" style="1" customWidth="1"/>
    <col min="10983" max="10983" width="12.375" style="1" customWidth="1"/>
    <col min="10984" max="10984" width="19.625" style="1" customWidth="1"/>
    <col min="10985" max="10985" width="17.125" style="1" customWidth="1"/>
    <col min="10986" max="10986" width="18.625" style="1" customWidth="1"/>
    <col min="10987" max="10987" width="14.875" style="1" customWidth="1"/>
    <col min="10988" max="10988" width="20.5" style="1" customWidth="1"/>
    <col min="10989" max="10989" width="29.625" style="1" customWidth="1"/>
    <col min="10990" max="10990" width="16.875" style="1" customWidth="1"/>
    <col min="10991" max="10991" width="11.625" style="1" customWidth="1"/>
    <col min="10992" max="10992" width="18" style="1" customWidth="1"/>
    <col min="10993" max="10993" width="15.125" style="1" customWidth="1"/>
    <col min="10994" max="10994" width="12.125" style="1" customWidth="1"/>
    <col min="11002" max="11002" width="11.625" style="1" customWidth="1"/>
    <col min="11003" max="11003" width="6.125" style="1" customWidth="1"/>
    <col min="11005" max="11005" width="6.125" style="1" customWidth="1"/>
    <col min="11006" max="11006" width="10.625" style="1" customWidth="1"/>
    <col min="11007" max="11007" width="18.125" style="1" customWidth="1"/>
    <col min="11237" max="11237" width="24.625" style="1" customWidth="1"/>
    <col min="11238" max="11238" width="12.625" style="1" customWidth="1"/>
    <col min="11239" max="11239" width="12.375" style="1" customWidth="1"/>
    <col min="11240" max="11240" width="19.625" style="1" customWidth="1"/>
    <col min="11241" max="11241" width="17.125" style="1" customWidth="1"/>
    <col min="11242" max="11242" width="18.625" style="1" customWidth="1"/>
    <col min="11243" max="11243" width="14.875" style="1" customWidth="1"/>
    <col min="11244" max="11244" width="20.5" style="1" customWidth="1"/>
    <col min="11245" max="11245" width="29.625" style="1" customWidth="1"/>
    <col min="11246" max="11246" width="16.875" style="1" customWidth="1"/>
    <col min="11247" max="11247" width="11.625" style="1" customWidth="1"/>
    <col min="11248" max="11248" width="18" style="1" customWidth="1"/>
    <col min="11249" max="11249" width="15.125" style="1" customWidth="1"/>
    <col min="11250" max="11250" width="12.125" style="1" customWidth="1"/>
    <col min="11258" max="11258" width="11.625" style="1" customWidth="1"/>
    <col min="11259" max="11259" width="6.125" style="1" customWidth="1"/>
    <col min="11261" max="11261" width="6.125" style="1" customWidth="1"/>
    <col min="11262" max="11262" width="10.625" style="1" customWidth="1"/>
    <col min="11263" max="11263" width="18.125" style="1" customWidth="1"/>
    <col min="11493" max="11493" width="24.625" style="1" customWidth="1"/>
    <col min="11494" max="11494" width="12.625" style="1" customWidth="1"/>
    <col min="11495" max="11495" width="12.375" style="1" customWidth="1"/>
    <col min="11496" max="11496" width="19.625" style="1" customWidth="1"/>
    <col min="11497" max="11497" width="17.125" style="1" customWidth="1"/>
    <col min="11498" max="11498" width="18.625" style="1" customWidth="1"/>
    <col min="11499" max="11499" width="14.875" style="1" customWidth="1"/>
    <col min="11500" max="11500" width="20.5" style="1" customWidth="1"/>
    <col min="11501" max="11501" width="29.625" style="1" customWidth="1"/>
    <col min="11502" max="11502" width="16.875" style="1" customWidth="1"/>
    <col min="11503" max="11503" width="11.625" style="1" customWidth="1"/>
    <col min="11504" max="11504" width="18" style="1" customWidth="1"/>
    <col min="11505" max="11505" width="15.125" style="1" customWidth="1"/>
    <col min="11506" max="11506" width="12.125" style="1" customWidth="1"/>
    <col min="11514" max="11514" width="11.625" style="1" customWidth="1"/>
    <col min="11515" max="11515" width="6.125" style="1" customWidth="1"/>
    <col min="11517" max="11517" width="6.125" style="1" customWidth="1"/>
    <col min="11518" max="11518" width="10.625" style="1" customWidth="1"/>
    <col min="11519" max="11519" width="18.125" style="1" customWidth="1"/>
    <col min="11749" max="11749" width="24.625" style="1" customWidth="1"/>
    <col min="11750" max="11750" width="12.625" style="1" customWidth="1"/>
    <col min="11751" max="11751" width="12.375" style="1" customWidth="1"/>
    <col min="11752" max="11752" width="19.625" style="1" customWidth="1"/>
    <col min="11753" max="11753" width="17.125" style="1" customWidth="1"/>
    <col min="11754" max="11754" width="18.625" style="1" customWidth="1"/>
    <col min="11755" max="11755" width="14.875" style="1" customWidth="1"/>
    <col min="11756" max="11756" width="20.5" style="1" customWidth="1"/>
    <col min="11757" max="11757" width="29.625" style="1" customWidth="1"/>
    <col min="11758" max="11758" width="16.875" style="1" customWidth="1"/>
    <col min="11759" max="11759" width="11.625" style="1" customWidth="1"/>
    <col min="11760" max="11760" width="18" style="1" customWidth="1"/>
    <col min="11761" max="11761" width="15.125" style="1" customWidth="1"/>
    <col min="11762" max="11762" width="12.125" style="1" customWidth="1"/>
    <col min="11770" max="11770" width="11.625" style="1" customWidth="1"/>
    <col min="11771" max="11771" width="6.125" style="1" customWidth="1"/>
    <col min="11773" max="11773" width="6.125" style="1" customWidth="1"/>
    <col min="11774" max="11774" width="10.625" style="1" customWidth="1"/>
    <col min="11775" max="11775" width="18.125" style="1" customWidth="1"/>
    <col min="12005" max="12005" width="24.625" style="1" customWidth="1"/>
    <col min="12006" max="12006" width="12.625" style="1" customWidth="1"/>
    <col min="12007" max="12007" width="12.375" style="1" customWidth="1"/>
    <col min="12008" max="12008" width="19.625" style="1" customWidth="1"/>
    <col min="12009" max="12009" width="17.125" style="1" customWidth="1"/>
    <col min="12010" max="12010" width="18.625" style="1" customWidth="1"/>
    <col min="12011" max="12011" width="14.875" style="1" customWidth="1"/>
    <col min="12012" max="12012" width="20.5" style="1" customWidth="1"/>
    <col min="12013" max="12013" width="29.625" style="1" customWidth="1"/>
    <col min="12014" max="12014" width="16.875" style="1" customWidth="1"/>
    <col min="12015" max="12015" width="11.625" style="1" customWidth="1"/>
    <col min="12016" max="12016" width="18" style="1" customWidth="1"/>
    <col min="12017" max="12017" width="15.125" style="1" customWidth="1"/>
    <col min="12018" max="12018" width="12.125" style="1" customWidth="1"/>
    <col min="12026" max="12026" width="11.625" style="1" customWidth="1"/>
    <col min="12027" max="12027" width="6.125" style="1" customWidth="1"/>
    <col min="12029" max="12029" width="6.125" style="1" customWidth="1"/>
    <col min="12030" max="12030" width="10.625" style="1" customWidth="1"/>
    <col min="12031" max="12031" width="18.125" style="1" customWidth="1"/>
    <col min="12261" max="12261" width="24.625" style="1" customWidth="1"/>
    <col min="12262" max="12262" width="12.625" style="1" customWidth="1"/>
    <col min="12263" max="12263" width="12.375" style="1" customWidth="1"/>
    <col min="12264" max="12264" width="19.625" style="1" customWidth="1"/>
    <col min="12265" max="12265" width="17.125" style="1" customWidth="1"/>
    <col min="12266" max="12266" width="18.625" style="1" customWidth="1"/>
    <col min="12267" max="12267" width="14.875" style="1" customWidth="1"/>
    <col min="12268" max="12268" width="20.5" style="1" customWidth="1"/>
    <col min="12269" max="12269" width="29.625" style="1" customWidth="1"/>
    <col min="12270" max="12270" width="16.875" style="1" customWidth="1"/>
    <col min="12271" max="12271" width="11.625" style="1" customWidth="1"/>
    <col min="12272" max="12272" width="18" style="1" customWidth="1"/>
    <col min="12273" max="12273" width="15.125" style="1" customWidth="1"/>
    <col min="12274" max="12274" width="12.125" style="1" customWidth="1"/>
    <col min="12282" max="12282" width="11.625" style="1" customWidth="1"/>
    <col min="12283" max="12283" width="6.125" style="1" customWidth="1"/>
    <col min="12285" max="12285" width="6.125" style="1" customWidth="1"/>
    <col min="12286" max="12286" width="10.625" style="1" customWidth="1"/>
    <col min="12287" max="12287" width="18.125" style="1" customWidth="1"/>
    <col min="12517" max="12517" width="24.625" style="1" customWidth="1"/>
    <col min="12518" max="12518" width="12.625" style="1" customWidth="1"/>
    <col min="12519" max="12519" width="12.375" style="1" customWidth="1"/>
    <col min="12520" max="12520" width="19.625" style="1" customWidth="1"/>
    <col min="12521" max="12521" width="17.125" style="1" customWidth="1"/>
    <col min="12522" max="12522" width="18.625" style="1" customWidth="1"/>
    <col min="12523" max="12523" width="14.875" style="1" customWidth="1"/>
    <col min="12524" max="12524" width="20.5" style="1" customWidth="1"/>
    <col min="12525" max="12525" width="29.625" style="1" customWidth="1"/>
    <col min="12526" max="12526" width="16.875" style="1" customWidth="1"/>
    <col min="12527" max="12527" width="11.625" style="1" customWidth="1"/>
    <col min="12528" max="12528" width="18" style="1" customWidth="1"/>
    <col min="12529" max="12529" width="15.125" style="1" customWidth="1"/>
    <col min="12530" max="12530" width="12.125" style="1" customWidth="1"/>
    <col min="12538" max="12538" width="11.625" style="1" customWidth="1"/>
    <col min="12539" max="12539" width="6.125" style="1" customWidth="1"/>
    <col min="12541" max="12541" width="6.125" style="1" customWidth="1"/>
    <col min="12542" max="12542" width="10.625" style="1" customWidth="1"/>
    <col min="12543" max="12543" width="18.125" style="1" customWidth="1"/>
    <col min="12773" max="12773" width="24.625" style="1" customWidth="1"/>
    <col min="12774" max="12774" width="12.625" style="1" customWidth="1"/>
    <col min="12775" max="12775" width="12.375" style="1" customWidth="1"/>
    <col min="12776" max="12776" width="19.625" style="1" customWidth="1"/>
    <col min="12777" max="12777" width="17.125" style="1" customWidth="1"/>
    <col min="12778" max="12778" width="18.625" style="1" customWidth="1"/>
    <col min="12779" max="12779" width="14.875" style="1" customWidth="1"/>
    <col min="12780" max="12780" width="20.5" style="1" customWidth="1"/>
    <col min="12781" max="12781" width="29.625" style="1" customWidth="1"/>
    <col min="12782" max="12782" width="16.875" style="1" customWidth="1"/>
    <col min="12783" max="12783" width="11.625" style="1" customWidth="1"/>
    <col min="12784" max="12784" width="18" style="1" customWidth="1"/>
    <col min="12785" max="12785" width="15.125" style="1" customWidth="1"/>
    <col min="12786" max="12786" width="12.125" style="1" customWidth="1"/>
    <col min="12794" max="12794" width="11.625" style="1" customWidth="1"/>
    <col min="12795" max="12795" width="6.125" style="1" customWidth="1"/>
    <col min="12797" max="12797" width="6.125" style="1" customWidth="1"/>
    <col min="12798" max="12798" width="10.625" style="1" customWidth="1"/>
    <col min="12799" max="12799" width="18.125" style="1" customWidth="1"/>
    <col min="13029" max="13029" width="24.625" style="1" customWidth="1"/>
    <col min="13030" max="13030" width="12.625" style="1" customWidth="1"/>
    <col min="13031" max="13031" width="12.375" style="1" customWidth="1"/>
    <col min="13032" max="13032" width="19.625" style="1" customWidth="1"/>
    <col min="13033" max="13033" width="17.125" style="1" customWidth="1"/>
    <col min="13034" max="13034" width="18.625" style="1" customWidth="1"/>
    <col min="13035" max="13035" width="14.875" style="1" customWidth="1"/>
    <col min="13036" max="13036" width="20.5" style="1" customWidth="1"/>
    <col min="13037" max="13037" width="29.625" style="1" customWidth="1"/>
    <col min="13038" max="13038" width="16.875" style="1" customWidth="1"/>
    <col min="13039" max="13039" width="11.625" style="1" customWidth="1"/>
    <col min="13040" max="13040" width="18" style="1" customWidth="1"/>
    <col min="13041" max="13041" width="15.125" style="1" customWidth="1"/>
    <col min="13042" max="13042" width="12.125" style="1" customWidth="1"/>
    <col min="13050" max="13050" width="11.625" style="1" customWidth="1"/>
    <col min="13051" max="13051" width="6.125" style="1" customWidth="1"/>
    <col min="13053" max="13053" width="6.125" style="1" customWidth="1"/>
    <col min="13054" max="13054" width="10.625" style="1" customWidth="1"/>
    <col min="13055" max="13055" width="18.125" style="1" customWidth="1"/>
    <col min="13285" max="13285" width="24.625" style="1" customWidth="1"/>
    <col min="13286" max="13286" width="12.625" style="1" customWidth="1"/>
    <col min="13287" max="13287" width="12.375" style="1" customWidth="1"/>
    <col min="13288" max="13288" width="19.625" style="1" customWidth="1"/>
    <col min="13289" max="13289" width="17.125" style="1" customWidth="1"/>
    <col min="13290" max="13290" width="18.625" style="1" customWidth="1"/>
    <col min="13291" max="13291" width="14.875" style="1" customWidth="1"/>
    <col min="13292" max="13292" width="20.5" style="1" customWidth="1"/>
    <col min="13293" max="13293" width="29.625" style="1" customWidth="1"/>
    <col min="13294" max="13294" width="16.875" style="1" customWidth="1"/>
    <col min="13295" max="13295" width="11.625" style="1" customWidth="1"/>
    <col min="13296" max="13296" width="18" style="1" customWidth="1"/>
    <col min="13297" max="13297" width="15.125" style="1" customWidth="1"/>
    <col min="13298" max="13298" width="12.125" style="1" customWidth="1"/>
    <col min="13306" max="13306" width="11.625" style="1" customWidth="1"/>
    <col min="13307" max="13307" width="6.125" style="1" customWidth="1"/>
    <col min="13309" max="13309" width="6.125" style="1" customWidth="1"/>
    <col min="13310" max="13310" width="10.625" style="1" customWidth="1"/>
    <col min="13311" max="13311" width="18.125" style="1" customWidth="1"/>
    <col min="13541" max="13541" width="24.625" style="1" customWidth="1"/>
    <col min="13542" max="13542" width="12.625" style="1" customWidth="1"/>
    <col min="13543" max="13543" width="12.375" style="1" customWidth="1"/>
    <col min="13544" max="13544" width="19.625" style="1" customWidth="1"/>
    <col min="13545" max="13545" width="17.125" style="1" customWidth="1"/>
    <col min="13546" max="13546" width="18.625" style="1" customWidth="1"/>
    <col min="13547" max="13547" width="14.875" style="1" customWidth="1"/>
    <col min="13548" max="13548" width="20.5" style="1" customWidth="1"/>
    <col min="13549" max="13549" width="29.625" style="1" customWidth="1"/>
    <col min="13550" max="13550" width="16.875" style="1" customWidth="1"/>
    <col min="13551" max="13551" width="11.625" style="1" customWidth="1"/>
    <col min="13552" max="13552" width="18" style="1" customWidth="1"/>
    <col min="13553" max="13553" width="15.125" style="1" customWidth="1"/>
    <col min="13554" max="13554" width="12.125" style="1" customWidth="1"/>
    <col min="13562" max="13562" width="11.625" style="1" customWidth="1"/>
    <col min="13563" max="13563" width="6.125" style="1" customWidth="1"/>
    <col min="13565" max="13565" width="6.125" style="1" customWidth="1"/>
    <col min="13566" max="13566" width="10.625" style="1" customWidth="1"/>
    <col min="13567" max="13567" width="18.125" style="1" customWidth="1"/>
    <col min="13797" max="13797" width="24.625" style="1" customWidth="1"/>
    <col min="13798" max="13798" width="12.625" style="1" customWidth="1"/>
    <col min="13799" max="13799" width="12.375" style="1" customWidth="1"/>
    <col min="13800" max="13800" width="19.625" style="1" customWidth="1"/>
    <col min="13801" max="13801" width="17.125" style="1" customWidth="1"/>
    <col min="13802" max="13802" width="18.625" style="1" customWidth="1"/>
    <col min="13803" max="13803" width="14.875" style="1" customWidth="1"/>
    <col min="13804" max="13804" width="20.5" style="1" customWidth="1"/>
    <col min="13805" max="13805" width="29.625" style="1" customWidth="1"/>
    <col min="13806" max="13806" width="16.875" style="1" customWidth="1"/>
    <col min="13807" max="13807" width="11.625" style="1" customWidth="1"/>
    <col min="13808" max="13808" width="18" style="1" customWidth="1"/>
    <col min="13809" max="13809" width="15.125" style="1" customWidth="1"/>
    <col min="13810" max="13810" width="12.125" style="1" customWidth="1"/>
    <col min="13818" max="13818" width="11.625" style="1" customWidth="1"/>
    <col min="13819" max="13819" width="6.125" style="1" customWidth="1"/>
    <col min="13821" max="13821" width="6.125" style="1" customWidth="1"/>
    <col min="13822" max="13822" width="10.625" style="1" customWidth="1"/>
    <col min="13823" max="13823" width="18.125" style="1" customWidth="1"/>
    <col min="14053" max="14053" width="24.625" style="1" customWidth="1"/>
    <col min="14054" max="14054" width="12.625" style="1" customWidth="1"/>
    <col min="14055" max="14055" width="12.375" style="1" customWidth="1"/>
    <col min="14056" max="14056" width="19.625" style="1" customWidth="1"/>
    <col min="14057" max="14057" width="17.125" style="1" customWidth="1"/>
    <col min="14058" max="14058" width="18.625" style="1" customWidth="1"/>
    <col min="14059" max="14059" width="14.875" style="1" customWidth="1"/>
    <col min="14060" max="14060" width="20.5" style="1" customWidth="1"/>
    <col min="14061" max="14061" width="29.625" style="1" customWidth="1"/>
    <col min="14062" max="14062" width="16.875" style="1" customWidth="1"/>
    <col min="14063" max="14063" width="11.625" style="1" customWidth="1"/>
    <col min="14064" max="14064" width="18" style="1" customWidth="1"/>
    <col min="14065" max="14065" width="15.125" style="1" customWidth="1"/>
    <col min="14066" max="14066" width="12.125" style="1" customWidth="1"/>
    <col min="14074" max="14074" width="11.625" style="1" customWidth="1"/>
    <col min="14075" max="14075" width="6.125" style="1" customWidth="1"/>
    <col min="14077" max="14077" width="6.125" style="1" customWidth="1"/>
    <col min="14078" max="14078" width="10.625" style="1" customWidth="1"/>
    <col min="14079" max="14079" width="18.125" style="1" customWidth="1"/>
    <col min="14309" max="14309" width="24.625" style="1" customWidth="1"/>
    <col min="14310" max="14310" width="12.625" style="1" customWidth="1"/>
    <col min="14311" max="14311" width="12.375" style="1" customWidth="1"/>
    <col min="14312" max="14312" width="19.625" style="1" customWidth="1"/>
    <col min="14313" max="14313" width="17.125" style="1" customWidth="1"/>
    <col min="14314" max="14314" width="18.625" style="1" customWidth="1"/>
    <col min="14315" max="14315" width="14.875" style="1" customWidth="1"/>
    <col min="14316" max="14316" width="20.5" style="1" customWidth="1"/>
    <col min="14317" max="14317" width="29.625" style="1" customWidth="1"/>
    <col min="14318" max="14318" width="16.875" style="1" customWidth="1"/>
    <col min="14319" max="14319" width="11.625" style="1" customWidth="1"/>
    <col min="14320" max="14320" width="18" style="1" customWidth="1"/>
    <col min="14321" max="14321" width="15.125" style="1" customWidth="1"/>
    <col min="14322" max="14322" width="12.125" style="1" customWidth="1"/>
    <col min="14330" max="14330" width="11.625" style="1" customWidth="1"/>
    <col min="14331" max="14331" width="6.125" style="1" customWidth="1"/>
    <col min="14333" max="14333" width="6.125" style="1" customWidth="1"/>
    <col min="14334" max="14334" width="10.625" style="1" customWidth="1"/>
    <col min="14335" max="14335" width="18.125" style="1" customWidth="1"/>
    <col min="14565" max="14565" width="24.625" style="1" customWidth="1"/>
    <col min="14566" max="14566" width="12.625" style="1" customWidth="1"/>
    <col min="14567" max="14567" width="12.375" style="1" customWidth="1"/>
    <col min="14568" max="14568" width="19.625" style="1" customWidth="1"/>
    <col min="14569" max="14569" width="17.125" style="1" customWidth="1"/>
    <col min="14570" max="14570" width="18.625" style="1" customWidth="1"/>
    <col min="14571" max="14571" width="14.875" style="1" customWidth="1"/>
    <col min="14572" max="14572" width="20.5" style="1" customWidth="1"/>
    <col min="14573" max="14573" width="29.625" style="1" customWidth="1"/>
    <col min="14574" max="14574" width="16.875" style="1" customWidth="1"/>
    <col min="14575" max="14575" width="11.625" style="1" customWidth="1"/>
    <col min="14576" max="14576" width="18" style="1" customWidth="1"/>
    <col min="14577" max="14577" width="15.125" style="1" customWidth="1"/>
    <col min="14578" max="14578" width="12.125" style="1" customWidth="1"/>
    <col min="14586" max="14586" width="11.625" style="1" customWidth="1"/>
    <col min="14587" max="14587" width="6.125" style="1" customWidth="1"/>
    <col min="14589" max="14589" width="6.125" style="1" customWidth="1"/>
    <col min="14590" max="14590" width="10.625" style="1" customWidth="1"/>
    <col min="14591" max="14591" width="18.125" style="1" customWidth="1"/>
    <col min="14821" max="14821" width="24.625" style="1" customWidth="1"/>
    <col min="14822" max="14822" width="12.625" style="1" customWidth="1"/>
    <col min="14823" max="14823" width="12.375" style="1" customWidth="1"/>
    <col min="14824" max="14824" width="19.625" style="1" customWidth="1"/>
    <col min="14825" max="14825" width="17.125" style="1" customWidth="1"/>
    <col min="14826" max="14826" width="18.625" style="1" customWidth="1"/>
    <col min="14827" max="14827" width="14.875" style="1" customWidth="1"/>
    <col min="14828" max="14828" width="20.5" style="1" customWidth="1"/>
    <col min="14829" max="14829" width="29.625" style="1" customWidth="1"/>
    <col min="14830" max="14830" width="16.875" style="1" customWidth="1"/>
    <col min="14831" max="14831" width="11.625" style="1" customWidth="1"/>
    <col min="14832" max="14832" width="18" style="1" customWidth="1"/>
    <col min="14833" max="14833" width="15.125" style="1" customWidth="1"/>
    <col min="14834" max="14834" width="12.125" style="1" customWidth="1"/>
    <col min="14842" max="14842" width="11.625" style="1" customWidth="1"/>
    <col min="14843" max="14843" width="6.125" style="1" customWidth="1"/>
    <col min="14845" max="14845" width="6.125" style="1" customWidth="1"/>
    <col min="14846" max="14846" width="10.625" style="1" customWidth="1"/>
    <col min="14847" max="14847" width="18.125" style="1" customWidth="1"/>
    <col min="15077" max="15077" width="24.625" style="1" customWidth="1"/>
    <col min="15078" max="15078" width="12.625" style="1" customWidth="1"/>
    <col min="15079" max="15079" width="12.375" style="1" customWidth="1"/>
    <col min="15080" max="15080" width="19.625" style="1" customWidth="1"/>
    <col min="15081" max="15081" width="17.125" style="1" customWidth="1"/>
    <col min="15082" max="15082" width="18.625" style="1" customWidth="1"/>
    <col min="15083" max="15083" width="14.875" style="1" customWidth="1"/>
    <col min="15084" max="15084" width="20.5" style="1" customWidth="1"/>
    <col min="15085" max="15085" width="29.625" style="1" customWidth="1"/>
    <col min="15086" max="15086" width="16.875" style="1" customWidth="1"/>
    <col min="15087" max="15087" width="11.625" style="1" customWidth="1"/>
    <col min="15088" max="15088" width="18" style="1" customWidth="1"/>
    <col min="15089" max="15089" width="15.125" style="1" customWidth="1"/>
    <col min="15090" max="15090" width="12.125" style="1" customWidth="1"/>
    <col min="15098" max="15098" width="11.625" style="1" customWidth="1"/>
    <col min="15099" max="15099" width="6.125" style="1" customWidth="1"/>
    <col min="15101" max="15101" width="6.125" style="1" customWidth="1"/>
    <col min="15102" max="15102" width="10.625" style="1" customWidth="1"/>
    <col min="15103" max="15103" width="18.125" style="1" customWidth="1"/>
    <col min="15333" max="15333" width="24.625" style="1" customWidth="1"/>
    <col min="15334" max="15334" width="12.625" style="1" customWidth="1"/>
    <col min="15335" max="15335" width="12.375" style="1" customWidth="1"/>
    <col min="15336" max="15336" width="19.625" style="1" customWidth="1"/>
    <col min="15337" max="15337" width="17.125" style="1" customWidth="1"/>
    <col min="15338" max="15338" width="18.625" style="1" customWidth="1"/>
    <col min="15339" max="15339" width="14.875" style="1" customWidth="1"/>
    <col min="15340" max="15340" width="20.5" style="1" customWidth="1"/>
    <col min="15341" max="15341" width="29.625" style="1" customWidth="1"/>
    <col min="15342" max="15342" width="16.875" style="1" customWidth="1"/>
    <col min="15343" max="15343" width="11.625" style="1" customWidth="1"/>
    <col min="15344" max="15344" width="18" style="1" customWidth="1"/>
    <col min="15345" max="15345" width="15.125" style="1" customWidth="1"/>
    <col min="15346" max="15346" width="12.125" style="1" customWidth="1"/>
    <col min="15354" max="15354" width="11.625" style="1" customWidth="1"/>
    <col min="15355" max="15355" width="6.125" style="1" customWidth="1"/>
    <col min="15357" max="15357" width="6.125" style="1" customWidth="1"/>
    <col min="15358" max="15358" width="10.625" style="1" customWidth="1"/>
    <col min="15359" max="15359" width="18.125" style="1" customWidth="1"/>
    <col min="15589" max="15589" width="24.625" style="1" customWidth="1"/>
    <col min="15590" max="15590" width="12.625" style="1" customWidth="1"/>
    <col min="15591" max="15591" width="12.375" style="1" customWidth="1"/>
    <col min="15592" max="15592" width="19.625" style="1" customWidth="1"/>
    <col min="15593" max="15593" width="17.125" style="1" customWidth="1"/>
    <col min="15594" max="15594" width="18.625" style="1" customWidth="1"/>
    <col min="15595" max="15595" width="14.875" style="1" customWidth="1"/>
    <col min="15596" max="15596" width="20.5" style="1" customWidth="1"/>
    <col min="15597" max="15597" width="29.625" style="1" customWidth="1"/>
    <col min="15598" max="15598" width="16.875" style="1" customWidth="1"/>
    <col min="15599" max="15599" width="11.625" style="1" customWidth="1"/>
    <col min="15600" max="15600" width="18" style="1" customWidth="1"/>
    <col min="15601" max="15601" width="15.125" style="1" customWidth="1"/>
    <col min="15602" max="15602" width="12.125" style="1" customWidth="1"/>
    <col min="15610" max="15610" width="11.625" style="1" customWidth="1"/>
    <col min="15611" max="15611" width="6.125" style="1" customWidth="1"/>
    <col min="15613" max="15613" width="6.125" style="1" customWidth="1"/>
    <col min="15614" max="15614" width="10.625" style="1" customWidth="1"/>
    <col min="15615" max="15615" width="18.125" style="1" customWidth="1"/>
    <col min="15845" max="15845" width="24.625" style="1" customWidth="1"/>
    <col min="15846" max="15846" width="12.625" style="1" customWidth="1"/>
    <col min="15847" max="15847" width="12.375" style="1" customWidth="1"/>
    <col min="15848" max="15848" width="19.625" style="1" customWidth="1"/>
    <col min="15849" max="15849" width="17.125" style="1" customWidth="1"/>
    <col min="15850" max="15850" width="18.625" style="1" customWidth="1"/>
    <col min="15851" max="15851" width="14.875" style="1" customWidth="1"/>
    <col min="15852" max="15852" width="20.5" style="1" customWidth="1"/>
    <col min="15853" max="15853" width="29.625" style="1" customWidth="1"/>
    <col min="15854" max="15854" width="16.875" style="1" customWidth="1"/>
    <col min="15855" max="15855" width="11.625" style="1" customWidth="1"/>
    <col min="15856" max="15856" width="18" style="1" customWidth="1"/>
    <col min="15857" max="15857" width="15.125" style="1" customWidth="1"/>
    <col min="15858" max="15858" width="12.125" style="1" customWidth="1"/>
    <col min="15866" max="15866" width="11.625" style="1" customWidth="1"/>
    <col min="15867" max="15867" width="6.125" style="1" customWidth="1"/>
    <col min="15869" max="15869" width="6.125" style="1" customWidth="1"/>
    <col min="15870" max="15870" width="10.625" style="1" customWidth="1"/>
    <col min="15871" max="15871" width="18.125" style="1" customWidth="1"/>
    <col min="16101" max="16101" width="24.625" style="1" customWidth="1"/>
    <col min="16102" max="16102" width="12.625" style="1" customWidth="1"/>
    <col min="16103" max="16103" width="12.375" style="1" customWidth="1"/>
    <col min="16104" max="16104" width="19.625" style="1" customWidth="1"/>
    <col min="16105" max="16105" width="17.125" style="1" customWidth="1"/>
    <col min="16106" max="16106" width="18.625" style="1" customWidth="1"/>
    <col min="16107" max="16107" width="14.875" style="1" customWidth="1"/>
    <col min="16108" max="16108" width="20.5" style="1" customWidth="1"/>
    <col min="16109" max="16109" width="29.625" style="1" customWidth="1"/>
    <col min="16110" max="16110" width="16.875" style="1" customWidth="1"/>
    <col min="16111" max="16111" width="11.625" style="1" customWidth="1"/>
    <col min="16112" max="16112" width="18" style="1" customWidth="1"/>
    <col min="16113" max="16113" width="15.125" style="1" customWidth="1"/>
    <col min="16114" max="16114" width="12.125" style="1" customWidth="1"/>
    <col min="16122" max="16122" width="11.625" style="1" customWidth="1"/>
    <col min="16123" max="16123" width="6.125" style="1" customWidth="1"/>
    <col min="16125" max="16125" width="6.125" style="1" customWidth="1"/>
    <col min="16126" max="16126" width="10.625" style="1" customWidth="1"/>
    <col min="16127" max="16127" width="18.125" style="1" customWidth="1"/>
  </cols>
  <sheetData>
    <row r="1" ht="12" customHeight="1" spans="1:38" s="300" customFormat="1" x14ac:dyDescent="0.25">
      <c r="A1" s="301" t="s">
        <v>256</v>
      </c>
      <c r="B1" s="301" t="s">
        <v>257</v>
      </c>
      <c r="C1" s="301" t="s">
        <v>258</v>
      </c>
      <c r="D1" s="301" t="s">
        <v>259</v>
      </c>
      <c r="E1" s="301" t="s">
        <v>260</v>
      </c>
      <c r="F1" s="301" t="s">
        <v>261</v>
      </c>
      <c r="G1" s="301" t="s">
        <v>262</v>
      </c>
      <c r="H1" s="301" t="s">
        <v>102</v>
      </c>
      <c r="I1" s="301" t="s">
        <v>6</v>
      </c>
      <c r="J1" s="301" t="s">
        <v>13</v>
      </c>
      <c r="K1" s="301" t="s">
        <v>104</v>
      </c>
      <c r="L1" s="301" t="s">
        <v>263</v>
      </c>
      <c r="M1" s="301" t="s">
        <v>9</v>
      </c>
      <c r="N1" s="301" t="s">
        <v>264</v>
      </c>
      <c r="O1" s="301" t="s">
        <v>7</v>
      </c>
      <c r="P1" s="301" t="s">
        <v>265</v>
      </c>
      <c r="Q1" s="301" t="s">
        <v>11</v>
      </c>
      <c r="R1" s="301" t="s">
        <v>266</v>
      </c>
      <c r="S1" s="301" t="s">
        <v>267</v>
      </c>
      <c r="T1" s="301" t="s">
        <v>268</v>
      </c>
      <c r="U1" s="301" t="s">
        <v>269</v>
      </c>
      <c r="V1" s="301" t="s">
        <v>270</v>
      </c>
      <c r="W1" s="301" t="s">
        <v>271</v>
      </c>
      <c r="X1" s="301" t="s">
        <v>15</v>
      </c>
      <c r="Y1" s="301" t="s">
        <v>14</v>
      </c>
      <c r="Z1" s="301" t="s">
        <v>17</v>
      </c>
      <c r="AA1" s="301" t="s">
        <v>272</v>
      </c>
      <c r="AB1" s="301" t="s">
        <v>273</v>
      </c>
      <c r="AC1" s="301" t="s">
        <v>274</v>
      </c>
      <c r="AD1" s="301" t="s">
        <v>275</v>
      </c>
      <c r="AE1" s="301" t="s">
        <v>276</v>
      </c>
      <c r="AF1" s="301" t="s">
        <v>277</v>
      </c>
      <c r="AG1" s="301" t="s">
        <v>238</v>
      </c>
      <c r="AH1" s="301" t="s">
        <v>240</v>
      </c>
      <c r="AI1" s="301" t="s">
        <v>278</v>
      </c>
      <c r="AJ1" s="301" t="s">
        <v>279</v>
      </c>
      <c r="AK1" s="301" t="s">
        <v>280</v>
      </c>
      <c r="AL1" s="301" t="s">
        <v>281</v>
      </c>
    </row>
    <row r="2" ht="17.1" customHeight="1" spans="1:35" s="1" customFormat="1" x14ac:dyDescent="0.25">
      <c r="A2" s="302">
        <v>4718</v>
      </c>
      <c r="B2" s="302" t="s">
        <v>282</v>
      </c>
      <c r="C2" s="302">
        <v>1</v>
      </c>
      <c r="D2" s="303" t="s">
        <v>283</v>
      </c>
      <c r="E2" t="s">
        <v>284</v>
      </c>
      <c r="F2" t="s">
        <v>285</v>
      </c>
      <c r="G2" t="s">
        <v>286</v>
      </c>
      <c r="H2" t="s">
        <v>287</v>
      </c>
      <c r="I2" t="s">
        <v>288</v>
      </c>
      <c r="J2" t="s">
        <v>289</v>
      </c>
      <c r="K2" t="s">
        <v>290</v>
      </c>
      <c r="L2" t="s">
        <v>291</v>
      </c>
      <c r="M2" t="s">
        <v>292</v>
      </c>
      <c r="N2" t="s">
        <v>293</v>
      </c>
      <c r="O2" t="s">
        <v>294</v>
      </c>
      <c r="P2" t="s">
        <v>295</v>
      </c>
      <c r="Q2" t="s">
        <v>296</v>
      </c>
      <c r="R2" t="s">
        <v>297</v>
      </c>
      <c r="S2" t="s">
        <v>298</v>
      </c>
      <c r="T2" t="s">
        <v>299</v>
      </c>
      <c r="U2" t="s">
        <v>300</v>
      </c>
      <c r="V2" t="s">
        <v>301</v>
      </c>
      <c r="X2" t="s">
        <v>302</v>
      </c>
      <c r="Y2" t="s">
        <v>303</v>
      </c>
      <c r="Z2" t="s">
        <v>131</v>
      </c>
      <c r="AA2" s="303"/>
      <c r="AI2" s="303" t="s">
        <v>304</v>
      </c>
    </row>
  </sheetData>
  <pageMargins left="0.6997222304344177" right="0.6997222304344177" top="0.75" bottom="0.75" header="0.300000011920929" footer="0.300000011920929"/>
  <pageSetup paperSize="9" orientation="portrait" horizontalDpi="0" verticalDpi="0" scale="100" fitToWidth="0"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62"/>
  <sheetViews>
    <sheetView workbookViewId="0" zoomScale="100" zoomScaleNormal="100">
      <selection activeCell="F17" sqref="F17"/>
    </sheetView>
  </sheetViews>
  <sheetFormatPr defaultRowHeight="16.5" outlineLevelRow="0" outlineLevelCol="0" x14ac:dyDescent="0" defaultColWidth="9" customHeight="1"/>
  <cols>
    <col min="4" max="4" width="10.875" style="1" customWidth="1"/>
    <col min="5" max="10" width="9.125" style="1" customWidth="1"/>
    <col min="13" max="13" width="9" style="128" customWidth="1"/>
    <col min="14" max="14" width="14.625" style="128" customWidth="1"/>
  </cols>
  <sheetData>
    <row r="1" spans="1:14" x14ac:dyDescent="0.25">
      <c r="A1" s="304" t="s">
        <v>305</v>
      </c>
      <c r="C1" s="305" t="s">
        <v>306</v>
      </c>
      <c r="D1" s="306"/>
      <c r="E1" s="306"/>
      <c r="F1" t="s">
        <v>307</v>
      </c>
      <c r="M1" s="307" t="s">
        <v>308</v>
      </c>
      <c r="N1" s="105"/>
    </row>
    <row r="2" spans="1:14" x14ac:dyDescent="0.25">
      <c r="A2" s="308" t="s">
        <v>133</v>
      </c>
      <c r="M2" s="307" t="s">
        <v>309</v>
      </c>
      <c r="N2" s="309" t="s">
        <v>310</v>
      </c>
    </row>
    <row r="3" spans="1:14" x14ac:dyDescent="0.25">
      <c r="A3" s="308" t="s">
        <v>311</v>
      </c>
      <c r="C3" s="310" t="s">
        <v>312</v>
      </c>
      <c r="D3" s="310" t="s">
        <v>313</v>
      </c>
      <c r="E3" s="310" t="s">
        <v>314</v>
      </c>
      <c r="F3" s="310" t="s">
        <v>315</v>
      </c>
      <c r="G3" s="310" t="s">
        <v>316</v>
      </c>
      <c r="H3" s="310" t="s">
        <v>317</v>
      </c>
      <c r="I3" s="310" t="s">
        <v>318</v>
      </c>
      <c r="J3" s="310" t="s">
        <v>319</v>
      </c>
      <c r="M3" s="311">
        <v>1</v>
      </c>
      <c r="N3" s="312">
        <f>(1-POWER((1+5/1200),M3*(-1)))/(5/1200)</f>
      </c>
    </row>
    <row r="4" spans="3:14" x14ac:dyDescent="0.25">
      <c r="C4" s="142" t="s">
        <v>320</v>
      </c>
      <c r="D4" s="138">
        <f>D5*0.6</f>
      </c>
      <c r="E4" s="138">
        <f>E5*0.6</f>
      </c>
      <c r="F4" s="138">
        <f>F5*0.6</f>
      </c>
      <c r="G4" s="138">
        <f>G5*0.6</f>
      </c>
      <c r="H4" s="138">
        <f>H5*0.6</f>
      </c>
      <c r="I4" s="138">
        <f>I5*0.6</f>
      </c>
      <c r="J4" s="138">
        <f>J5*0.6</f>
      </c>
      <c r="M4" s="311">
        <v>2</v>
      </c>
      <c r="N4" s="312">
        <f>(1-POWER((1+5/1200),M4*(-1)))/(5/1200)</f>
      </c>
    </row>
    <row r="5" spans="1:14" x14ac:dyDescent="0.25">
      <c r="A5" s="308" t="s">
        <v>321</v>
      </c>
      <c r="C5" s="142" t="s">
        <v>322</v>
      </c>
      <c r="D5" s="138">
        <v>2077892</v>
      </c>
      <c r="E5" s="138">
        <v>3456155</v>
      </c>
      <c r="F5" s="138">
        <v>4434816</v>
      </c>
      <c r="G5" s="138">
        <v>5400964</v>
      </c>
      <c r="H5" s="138">
        <v>6330688</v>
      </c>
      <c r="I5" s="138">
        <v>7227981</v>
      </c>
      <c r="J5" s="138">
        <v>8107515</v>
      </c>
      <c r="M5" s="311">
        <v>3</v>
      </c>
      <c r="N5" s="312">
        <f>(1-POWER((1+5/1200),M5*(-1)))/(5/1200)</f>
      </c>
    </row>
    <row r="6" spans="1:14" x14ac:dyDescent="0.25">
      <c r="A6" s="308" t="s">
        <v>89</v>
      </c>
      <c r="M6" s="311">
        <v>4</v>
      </c>
      <c r="N6" s="312">
        <f>(1-POWER((1+5/1200),M6*(-1)))/(5/1200)</f>
      </c>
    </row>
    <row r="7" spans="1:14" x14ac:dyDescent="0.25">
      <c r="A7" s="308"/>
      <c r="C7" s="310" t="s">
        <v>323</v>
      </c>
      <c r="D7" s="216" t="s">
        <v>320</v>
      </c>
      <c r="E7" s="142" t="s">
        <v>322</v>
      </c>
      <c r="M7" s="311">
        <v>5</v>
      </c>
      <c r="N7" s="312">
        <f>(1-POWER((1+5/1200),M7*(-1)))/(5/1200)</f>
      </c>
    </row>
    <row r="8" spans="3:14" x14ac:dyDescent="0.25">
      <c r="C8" s="310">
        <v>1</v>
      </c>
      <c r="D8" s="313">
        <f>ROUND((E8*0.6),0)</f>
      </c>
      <c r="E8" s="138">
        <v>2077892</v>
      </c>
      <c r="M8" s="311">
        <v>6</v>
      </c>
      <c r="N8" s="312">
        <f>(1-POWER((1+5/1200),M8*(-1)))/(5/1200)</f>
      </c>
    </row>
    <row r="9" spans="1:14" x14ac:dyDescent="0.25">
      <c r="A9" t="s">
        <v>324</v>
      </c>
      <c r="B9" t="s">
        <v>325</v>
      </c>
      <c r="C9" s="310">
        <v>2</v>
      </c>
      <c r="D9" s="313">
        <f>ROUND((E9*0.6),0)</f>
      </c>
      <c r="E9" s="138">
        <v>3456155</v>
      </c>
      <c r="M9" s="311">
        <v>7</v>
      </c>
      <c r="N9" s="312">
        <f>(1-POWER((1+5/1200),M9*(-1)))/(5/1200)</f>
      </c>
    </row>
    <row r="10" spans="1:14" x14ac:dyDescent="0.25">
      <c r="A10" t="s">
        <v>326</v>
      </c>
      <c r="B10" t="s">
        <v>327</v>
      </c>
      <c r="C10" s="310">
        <v>3</v>
      </c>
      <c r="D10" s="313">
        <f>ROUND((E10*0.6),0)</f>
      </c>
      <c r="E10" s="138">
        <v>4434816</v>
      </c>
      <c r="M10" s="311">
        <v>8</v>
      </c>
      <c r="N10" s="312">
        <f>(1-POWER((1+5/1200),M10*(-1)))/(5/1200)</f>
      </c>
    </row>
    <row r="11" spans="1:14" x14ac:dyDescent="0.25">
      <c r="A11" t="s">
        <v>328</v>
      </c>
      <c r="B11" t="s">
        <v>83</v>
      </c>
      <c r="C11" s="310">
        <v>4</v>
      </c>
      <c r="D11" s="313">
        <f>ROUND((E11*0.6),0)</f>
      </c>
      <c r="E11" s="138">
        <v>5400964</v>
      </c>
      <c r="M11" s="311">
        <v>9</v>
      </c>
      <c r="N11" s="312">
        <f>(1-POWER((1+5/1200),M11*(-1)))/(5/1200)</f>
      </c>
    </row>
    <row r="12" spans="1:14" x14ac:dyDescent="0.25">
      <c r="A12" t="s">
        <v>329</v>
      </c>
      <c r="B12" t="s">
        <v>330</v>
      </c>
      <c r="C12" s="310">
        <v>5</v>
      </c>
      <c r="D12" s="313">
        <f>ROUND((E12*0.6),0)</f>
      </c>
      <c r="E12" s="138">
        <v>6330688</v>
      </c>
      <c r="M12" s="311">
        <v>10</v>
      </c>
      <c r="N12" s="312">
        <f>(1-POWER((1+5/1200),M12*(-1)))/(5/1200)</f>
      </c>
    </row>
    <row r="13" spans="2:14" x14ac:dyDescent="0.25">
      <c r="B13" t="s">
        <v>331</v>
      </c>
      <c r="C13" s="310">
        <v>6</v>
      </c>
      <c r="D13" s="313">
        <f>ROUND((E13*0.6),0)</f>
      </c>
      <c r="E13" s="138">
        <v>7227981</v>
      </c>
      <c r="M13" s="311">
        <v>11</v>
      </c>
      <c r="N13" s="312">
        <f>(1-POWER((1+5/1200),M13*(-1)))/(5/1200)</f>
      </c>
    </row>
    <row r="14" spans="3:14" x14ac:dyDescent="0.25">
      <c r="C14" s="310">
        <v>7</v>
      </c>
      <c r="D14" s="313">
        <f>ROUND((E14*0.6),0)</f>
      </c>
      <c r="E14" s="138">
        <v>8107515</v>
      </c>
      <c r="M14" s="311">
        <v>12</v>
      </c>
      <c r="N14" s="312">
        <f>(1-POWER((1+5/1200),M14*(-1)))/(5/1200)</f>
      </c>
    </row>
    <row r="15" spans="1:14" x14ac:dyDescent="0.25">
      <c r="A15" s="303" t="s">
        <v>191</v>
      </c>
      <c r="C15" s="137">
        <v>8</v>
      </c>
      <c r="D15" s="314"/>
      <c r="M15" s="311">
        <v>13</v>
      </c>
      <c r="N15" s="312">
        <f>(1-POWER((1+5/1200),M15*(-1)))/(5/1200)</f>
      </c>
    </row>
    <row r="16" spans="1:14" x14ac:dyDescent="0.25">
      <c r="A16" s="303" t="s">
        <v>188</v>
      </c>
      <c r="C16" s="310">
        <v>9</v>
      </c>
      <c r="D16" s="128"/>
      <c r="M16" s="311">
        <v>14</v>
      </c>
      <c r="N16" s="312">
        <f>(1-POWER((1+5/1200),M16*(-1)))/(5/1200)</f>
      </c>
    </row>
    <row r="17" spans="3:14" x14ac:dyDescent="0.25">
      <c r="C17" s="310">
        <v>10</v>
      </c>
      <c r="D17" s="128"/>
      <c r="M17" s="311">
        <v>15</v>
      </c>
      <c r="N17" s="312">
        <f>(1-POWER((1+5/1200),M17*(-1)))/(5/1200)</f>
      </c>
    </row>
    <row r="18" spans="1:14" x14ac:dyDescent="0.25">
      <c r="A18" s="315" t="s">
        <v>332</v>
      </c>
      <c r="D18" s="128"/>
      <c r="M18" s="311">
        <v>16</v>
      </c>
      <c r="N18" s="312">
        <f>(1-POWER((1+5/1200),M18*(-1)))/(5/1200)</f>
      </c>
    </row>
    <row r="19" spans="1:14" x14ac:dyDescent="0.25">
      <c r="A19" s="303" t="s">
        <v>333</v>
      </c>
      <c r="M19" s="311">
        <v>17</v>
      </c>
      <c r="N19" s="312">
        <f>(1-POWER((1+5/1200),M19*(-1)))/(5/1200)</f>
      </c>
    </row>
    <row r="20" spans="1:14" x14ac:dyDescent="0.25">
      <c r="A20" s="303" t="s">
        <v>334</v>
      </c>
      <c r="M20" s="311">
        <v>18</v>
      </c>
      <c r="N20" s="312">
        <f>(1-POWER((1+5/1200),M20*(-1)))/(5/1200)</f>
      </c>
    </row>
    <row r="21" spans="1:14" x14ac:dyDescent="0.25">
      <c r="A21" s="303" t="s">
        <v>335</v>
      </c>
      <c r="M21" s="311">
        <v>19</v>
      </c>
      <c r="N21" s="312">
        <f>(1-POWER((1+5/1200),M21*(-1)))/(5/1200)</f>
      </c>
    </row>
    <row r="22" spans="13:14" x14ac:dyDescent="0.25">
      <c r="M22" s="311">
        <v>20</v>
      </c>
      <c r="N22" s="312">
        <f>(1-POWER((1+5/1200),M22*(-1)))/(5/1200)</f>
      </c>
    </row>
    <row r="23" spans="13:14" x14ac:dyDescent="0.25">
      <c r="M23" s="311">
        <v>21</v>
      </c>
      <c r="N23" s="312">
        <f>(1-POWER((1+5/1200),M23*(-1)))/(5/1200)</f>
      </c>
    </row>
    <row r="24" spans="13:14" x14ac:dyDescent="0.25">
      <c r="M24" s="311">
        <v>22</v>
      </c>
      <c r="N24" s="312">
        <f>(1-POWER((1+5/1200),M24*(-1)))/(5/1200)</f>
      </c>
    </row>
    <row r="25" spans="13:14" x14ac:dyDescent="0.25">
      <c r="M25" s="311">
        <v>23</v>
      </c>
      <c r="N25" s="312">
        <f>(1-POWER((1+5/1200),M25*(-1)))/(5/1200)</f>
      </c>
    </row>
    <row r="26" spans="13:14" x14ac:dyDescent="0.25">
      <c r="M26" s="311">
        <v>24</v>
      </c>
      <c r="N26" s="312">
        <f>(1-POWER((1+5/1200),M26*(-1)))/(5/1200)</f>
      </c>
    </row>
    <row r="27" spans="13:14" x14ac:dyDescent="0.25">
      <c r="M27" s="311">
        <v>25</v>
      </c>
      <c r="N27" s="312">
        <f>(1-POWER((1+5/1200),M27*(-1)))/(5/1200)</f>
      </c>
    </row>
    <row r="28" spans="13:14" x14ac:dyDescent="0.25">
      <c r="M28" s="311">
        <v>26</v>
      </c>
      <c r="N28" s="312">
        <f>(1-POWER((1+5/1200),M28*(-1)))/(5/1200)</f>
      </c>
    </row>
    <row r="29" spans="13:14" x14ac:dyDescent="0.25">
      <c r="M29" s="311">
        <v>27</v>
      </c>
      <c r="N29" s="312">
        <f>(1-POWER((1+5/1200),M29*(-1)))/(5/1200)</f>
      </c>
    </row>
    <row r="30" spans="13:14" x14ac:dyDescent="0.25">
      <c r="M30" s="311">
        <v>28</v>
      </c>
      <c r="N30" s="312">
        <f>(1-POWER((1+5/1200),M30*(-1)))/(5/1200)</f>
      </c>
    </row>
    <row r="31" spans="13:14" x14ac:dyDescent="0.25">
      <c r="M31" s="311">
        <v>29</v>
      </c>
      <c r="N31" s="312">
        <f>(1-POWER((1+5/1200),M31*(-1)))/(5/1200)</f>
      </c>
    </row>
    <row r="32" spans="13:14" x14ac:dyDescent="0.25">
      <c r="M32" s="311">
        <v>30</v>
      </c>
      <c r="N32" s="312">
        <f>(1-POWER((1+5/1200),M32*(-1)))/(5/1200)</f>
      </c>
    </row>
    <row r="33" spans="13:14" x14ac:dyDescent="0.25">
      <c r="M33" s="311">
        <v>31</v>
      </c>
      <c r="N33" s="312">
        <f>(1-POWER((1+5/1200),M33*(-1)))/(5/1200)</f>
      </c>
    </row>
    <row r="34" spans="13:14" x14ac:dyDescent="0.25">
      <c r="M34" s="311">
        <v>32</v>
      </c>
      <c r="N34" s="312">
        <f>(1-POWER((1+5/1200),M34*(-1)))/(5/1200)</f>
      </c>
    </row>
    <row r="35" spans="13:14" x14ac:dyDescent="0.25">
      <c r="M35" s="311">
        <v>33</v>
      </c>
      <c r="N35" s="312">
        <f>(1-POWER((1+5/1200),M35*(-1)))/(5/1200)</f>
      </c>
    </row>
    <row r="36" spans="13:14" x14ac:dyDescent="0.25">
      <c r="M36" s="311">
        <v>34</v>
      </c>
      <c r="N36" s="312">
        <f>(1-POWER((1+5/1200),M36*(-1)))/(5/1200)</f>
      </c>
    </row>
    <row r="37" spans="13:14" x14ac:dyDescent="0.25">
      <c r="M37" s="311">
        <v>35</v>
      </c>
      <c r="N37" s="312">
        <f>(1-POWER((1+5/1200),M37*(-1)))/(5/1200)</f>
      </c>
    </row>
    <row r="38" spans="13:14" x14ac:dyDescent="0.25">
      <c r="M38" s="311">
        <v>36</v>
      </c>
      <c r="N38" s="312">
        <f>(1-POWER((1+5/1200),M38*(-1)))/(5/1200)</f>
      </c>
    </row>
    <row r="39" spans="13:14" x14ac:dyDescent="0.25">
      <c r="M39" s="311">
        <v>37</v>
      </c>
      <c r="N39" s="312">
        <f>(1-POWER((1+5/1200),M39*(-1)))/(5/1200)</f>
      </c>
    </row>
    <row r="40" spans="13:14" x14ac:dyDescent="0.25">
      <c r="M40" s="311">
        <v>38</v>
      </c>
      <c r="N40" s="312">
        <f>(1-POWER((1+5/1200),M40*(-1)))/(5/1200)</f>
      </c>
    </row>
    <row r="41" spans="13:14" x14ac:dyDescent="0.25">
      <c r="M41" s="311">
        <v>39</v>
      </c>
      <c r="N41" s="312">
        <f>(1-POWER((1+5/1200),M41*(-1)))/(5/1200)</f>
      </c>
    </row>
    <row r="42" spans="13:14" x14ac:dyDescent="0.25">
      <c r="M42" s="311">
        <v>40</v>
      </c>
      <c r="N42" s="312">
        <f>(1-POWER((1+5/1200),M42*(-1)))/(5/1200)</f>
      </c>
    </row>
    <row r="43" spans="13:14" x14ac:dyDescent="0.25">
      <c r="M43" s="311">
        <v>41</v>
      </c>
      <c r="N43" s="312">
        <f>(1-POWER((1+5/1200),M43*(-1)))/(5/1200)</f>
      </c>
    </row>
    <row r="44" spans="13:14" x14ac:dyDescent="0.25">
      <c r="M44" s="311">
        <v>42</v>
      </c>
      <c r="N44" s="312">
        <f>(1-POWER((1+5/1200),M44*(-1)))/(5/1200)</f>
      </c>
    </row>
    <row r="45" spans="13:14" x14ac:dyDescent="0.25">
      <c r="M45" s="311">
        <v>43</v>
      </c>
      <c r="N45" s="312">
        <f>(1-POWER((1+5/1200),M45*(-1)))/(5/1200)</f>
      </c>
    </row>
    <row r="46" spans="13:14" x14ac:dyDescent="0.25">
      <c r="M46" s="311">
        <v>44</v>
      </c>
      <c r="N46" s="312">
        <f>(1-POWER((1+5/1200),M46*(-1)))/(5/1200)</f>
      </c>
    </row>
    <row r="47" spans="13:14" x14ac:dyDescent="0.25">
      <c r="M47" s="311">
        <v>45</v>
      </c>
      <c r="N47" s="312">
        <f>(1-POWER((1+5/1200),M47*(-1)))/(5/1200)</f>
      </c>
    </row>
    <row r="48" spans="13:14" x14ac:dyDescent="0.25">
      <c r="M48" s="311">
        <v>46</v>
      </c>
      <c r="N48" s="312">
        <f>(1-POWER((1+5/1200),M48*(-1)))/(5/1200)</f>
      </c>
    </row>
    <row r="49" spans="13:14" x14ac:dyDescent="0.25">
      <c r="M49" s="311">
        <v>47</v>
      </c>
      <c r="N49" s="312">
        <f>(1-POWER((1+5/1200),M49*(-1)))/(5/1200)</f>
      </c>
    </row>
    <row r="50" spans="13:14" x14ac:dyDescent="0.25">
      <c r="M50" s="311">
        <v>48</v>
      </c>
      <c r="N50" s="312">
        <f>(1-POWER((1+5/1200),M50*(-1)))/(5/1200)</f>
      </c>
    </row>
    <row r="51" spans="13:14" x14ac:dyDescent="0.25">
      <c r="M51" s="311">
        <v>49</v>
      </c>
      <c r="N51" s="312">
        <f>(1-POWER((1+5/1200),M51*(-1)))/(5/1200)</f>
      </c>
    </row>
    <row r="52" spans="13:14" x14ac:dyDescent="0.25">
      <c r="M52" s="311">
        <v>50</v>
      </c>
      <c r="N52" s="312">
        <f>(1-POWER((1+5/1200),M52*(-1)))/(5/1200)</f>
      </c>
    </row>
    <row r="53" spans="13:14" x14ac:dyDescent="0.25">
      <c r="M53" s="311">
        <v>51</v>
      </c>
      <c r="N53" s="312">
        <f>(1-POWER((1+5/1200),M53*(-1)))/(5/1200)</f>
      </c>
    </row>
    <row r="54" spans="13:14" x14ac:dyDescent="0.25">
      <c r="M54" s="311">
        <v>52</v>
      </c>
      <c r="N54" s="312">
        <f>(1-POWER((1+5/1200),M54*(-1)))/(5/1200)</f>
      </c>
    </row>
    <row r="55" spans="13:14" x14ac:dyDescent="0.25">
      <c r="M55" s="311">
        <v>53</v>
      </c>
      <c r="N55" s="312">
        <f>(1-POWER((1+5/1200),M55*(-1)))/(5/1200)</f>
      </c>
    </row>
    <row r="56" spans="13:14" x14ac:dyDescent="0.25">
      <c r="M56" s="311">
        <v>54</v>
      </c>
      <c r="N56" s="312">
        <f>(1-POWER((1+5/1200),M56*(-1)))/(5/1200)</f>
      </c>
    </row>
    <row r="57" spans="13:14" x14ac:dyDescent="0.25">
      <c r="M57" s="311">
        <v>55</v>
      </c>
      <c r="N57" s="312">
        <f>(1-POWER((1+5/1200),M57*(-1)))/(5/1200)</f>
      </c>
    </row>
    <row r="58" spans="13:14" x14ac:dyDescent="0.25">
      <c r="M58" s="311">
        <v>56</v>
      </c>
      <c r="N58" s="312">
        <f>(1-POWER((1+5/1200),M58*(-1)))/(5/1200)</f>
      </c>
    </row>
    <row r="59" spans="13:14" x14ac:dyDescent="0.25">
      <c r="M59" s="311">
        <v>57</v>
      </c>
      <c r="N59" s="312">
        <f>(1-POWER((1+5/1200),M59*(-1)))/(5/1200)</f>
      </c>
    </row>
    <row r="60" spans="13:14" x14ac:dyDescent="0.25">
      <c r="M60" s="311">
        <v>58</v>
      </c>
      <c r="N60" s="312">
        <f>(1-POWER((1+5/1200),M60*(-1)))/(5/1200)</f>
      </c>
    </row>
    <row r="61" spans="13:14" x14ac:dyDescent="0.25">
      <c r="M61" s="311">
        <v>59</v>
      </c>
      <c r="N61" s="312">
        <f>(1-POWER((1+5/1200),M61*(-1)))/(5/1200)</f>
      </c>
    </row>
    <row r="62" spans="13:14" x14ac:dyDescent="0.25">
      <c r="M62" s="311">
        <v>60</v>
      </c>
      <c r="N62" s="312">
        <f>(1-POWER((1+5/1200),M62*(-1)))/(5/1200)</f>
      </c>
    </row>
  </sheetData>
  <mergeCells count="1">
    <mergeCell ref="M1:N1"/>
  </mergeCells>
  <pageMargins left="0.6997222304344177" right="0.6997222304344177" top="0.75" bottom="0.75" header="0.300000011920929" footer="0.300000011920929"/>
  <pageSetup paperSize="9" orientation="portrait" horizontalDpi="4294967295" verticalDpi="4294967295" scale="100" fitToWidth="0"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신청서</vt:lpstr>
      <vt:lpstr>상담일지</vt:lpstr>
      <vt:lpstr>평가표</vt:lpstr>
      <vt:lpstr>신용위 안내문</vt:lpstr>
      <vt:lpstr>결과보고서</vt:lpstr>
      <vt:lpstr>온라인신청사항</vt:lpstr>
      <vt:lpstr>유효성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dks20240401</dc:creator>
  <cp:lastModifiedBy>dks20240507</cp:lastModifiedBy>
  <cp:lastPrinted>2025-12-13T03:49:18Z</cp:lastPrinted>
  <cp:revision>48</cp:revision>
  <dcterms:created xsi:type="dcterms:W3CDTF">2023-02-20T09:07:26Z</dcterms:created>
  <dcterms:modified xsi:type="dcterms:W3CDTF">2026-03-12T06:46:41Z</dcterms:modified>
</cp:coreProperties>
</file>